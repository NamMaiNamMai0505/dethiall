
<file path=[Content_Types].xml><?xml version="1.0" encoding="utf-8"?>
<Types xmlns="http://schemas.openxmlformats.org/package/2006/content-types">
  <Default Extension="png" ContentType="image/png"/>
  <Default Extension="wdp" ContentType="image/vnd.ms-photo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activeTab="2"/>
  </bookViews>
  <sheets>
    <sheet name="YS1B1" sheetId="22" r:id="rId1"/>
    <sheet name="D2B1" sheetId="23" r:id="rId2"/>
    <sheet name="ĐD2B1" sheetId="24" r:id="rId3"/>
    <sheet name="ĐD2B2" sheetId="25" r:id="rId4"/>
  </sheets>
  <definedNames>
    <definedName name="_xlnm.Print_Area" localSheetId="0">YS1B1!$A$1:$Z$20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<sst xmlns="http://schemas.openxmlformats.org/spreadsheetml/2006/main" count="526" uniqueCount="209">
  <si>
    <r>
      <rPr>
        <sz val="20"/>
        <color theme="1"/>
        <rFont val="Times New Roman"/>
        <charset val="134"/>
      </rPr>
      <t xml:space="preserve">TỔNG CỤC HẬU CẦN - KỸ THUẬT
</t>
    </r>
    <r>
      <rPr>
        <b/>
        <sz val="20"/>
        <color theme="1"/>
        <rFont val="Times New Roman"/>
        <charset val="134"/>
      </rPr>
      <t>TRƯỜNG CAO ĐẲNG HẬU CẦN 2</t>
    </r>
  </si>
  <si>
    <t>LỊCH HUẤN LUYỆN</t>
  </si>
  <si>
    <t xml:space="preserve">Lớp: </t>
  </si>
  <si>
    <t>CĐY1B1</t>
  </si>
  <si>
    <t>Học kỳ 2 năm học 2025-2026</t>
  </si>
  <si>
    <t>Đơn vị: Khoa Y học Lâm sàng</t>
  </si>
  <si>
    <t>Sĩ số: 25</t>
  </si>
  <si>
    <t>Số tổ : 02</t>
  </si>
  <si>
    <t>CN lớp: BSCK1 Phạm Xuân Thành</t>
  </si>
  <si>
    <t>Kính gửi:…………………………………………………..</t>
  </si>
  <si>
    <t>Phòng học: 208-H1</t>
  </si>
  <si>
    <t>Thứ</t>
  </si>
  <si>
    <t>Tháng</t>
  </si>
  <si>
    <t>7</t>
  </si>
  <si>
    <t xml:space="preserve">Tuần    </t>
  </si>
  <si>
    <t xml:space="preserve">  Tiết</t>
  </si>
  <si>
    <t>02
            08</t>
  </si>
  <si>
    <t>09
             15</t>
  </si>
  <si>
    <t>16
            22</t>
  </si>
  <si>
    <t>23
            29</t>
  </si>
  <si>
    <t>30
            05</t>
  </si>
  <si>
    <t>06
            12</t>
  </si>
  <si>
    <t>13
            19</t>
  </si>
  <si>
    <t>20
            26</t>
  </si>
  <si>
    <t>27
            03</t>
  </si>
  <si>
    <t>04
            10</t>
  </si>
  <si>
    <t>11
            17</t>
  </si>
  <si>
    <t>18
            24</t>
  </si>
  <si>
    <t>25
            31</t>
  </si>
  <si>
    <t>01
            07</t>
  </si>
  <si>
    <t>08
            14</t>
  </si>
  <si>
    <t>15
            21</t>
  </si>
  <si>
    <t>22
            28</t>
  </si>
  <si>
    <t>29
            05</t>
  </si>
  <si>
    <t>06
             12</t>
  </si>
  <si>
    <t>13
             19</t>
  </si>
  <si>
    <t>27
            02</t>
  </si>
  <si>
    <t>03
            09</t>
  </si>
  <si>
    <t>10
            16</t>
  </si>
  <si>
    <t>1 ÷ 5</t>
  </si>
  <si>
    <t>THI
Chính tr ị
 Thi HH, GP (L2)</t>
  </si>
  <si>
    <t>Nghỉ bù Giỗ tổ Hùng vương</t>
  </si>
  <si>
    <t>THI
SHDT</t>
  </si>
  <si>
    <t>TH</t>
  </si>
  <si>
    <t>Nghỉ hè 21/7/2025 - 16/8/2025
(Tổ chức học bù, học lại)</t>
  </si>
  <si>
    <t>6 ÷ 9</t>
  </si>
  <si>
    <t>THI
SXTK</t>
  </si>
  <si>
    <t>THI
VKSV</t>
  </si>
  <si>
    <t>THI
Pháp luật</t>
  </si>
  <si>
    <t>THI
GDTC</t>
  </si>
  <si>
    <t>THI PTTH</t>
  </si>
  <si>
    <t>THI
PL (l@)</t>
  </si>
  <si>
    <t xml:space="preserve">THI
Hoá sinh </t>
  </si>
  <si>
    <t>SHCB</t>
  </si>
  <si>
    <t>Ngày chiến thắng 30/4</t>
  </si>
  <si>
    <t>LT</t>
  </si>
  <si>
    <t>THI
TLHYĐ</t>
  </si>
  <si>
    <t>THI
TLHYĐ (L2)</t>
  </si>
  <si>
    <t>THI SLB</t>
  </si>
  <si>
    <t>THI
TH</t>
  </si>
  <si>
    <t>THI L2 TH</t>
  </si>
  <si>
    <t>Ngày quốc tế lao động 1/5</t>
  </si>
  <si>
    <t>THI L2</t>
  </si>
  <si>
    <t>THI XSTK (L2)</t>
  </si>
  <si>
    <t>THI  GDQP</t>
  </si>
  <si>
    <t>Ghi chú:</t>
  </si>
  <si>
    <r>
      <rPr>
        <sz val="16"/>
        <rFont val="Times New Roman"/>
        <charset val="134"/>
      </rPr>
      <t xml:space="preserve">Các khoa xây dựng phân công giảng dạy gửi về Phòng Đào tạo trước ngày 22 hằng tháng </t>
    </r>
    <r>
      <rPr>
        <i/>
        <sz val="16"/>
        <rFont val="Times New Roman"/>
        <charset val="134"/>
      </rPr>
      <t>(đồng chí Cù Hoàng Đức Huy nhận)</t>
    </r>
  </si>
  <si>
    <t>Mã</t>
  </si>
  <si>
    <t>TÊN MÔN HỌC</t>
  </si>
  <si>
    <t>KHOA</t>
  </si>
  <si>
    <t>TÍN CHỈ</t>
  </si>
  <si>
    <t>Thời gian học tập (giờ)</t>
  </si>
  <si>
    <t>Ghi chú</t>
  </si>
  <si>
    <t>KÝ HIỆU CHUNG:</t>
  </si>
  <si>
    <t>Thi</t>
  </si>
  <si>
    <t>Tổng</t>
  </si>
  <si>
    <t>SHCB: Sinh hoạt chi bộ</t>
  </si>
  <si>
    <t>M022K3</t>
  </si>
  <si>
    <t>Tin học và chuyển đổi số</t>
  </si>
  <si>
    <t>K3</t>
  </si>
  <si>
    <t>M033K4</t>
  </si>
  <si>
    <t>Hoá sinh</t>
  </si>
  <si>
    <t>K4</t>
  </si>
  <si>
    <t>Ngày     tháng      năm 2025</t>
  </si>
  <si>
    <t>M020K2</t>
  </si>
  <si>
    <t>Pháp luật</t>
  </si>
  <si>
    <t>K2</t>
  </si>
  <si>
    <t>NGƯỜI LÀM LỊCH</t>
  </si>
  <si>
    <t>KT. TRƯỞNG PHÒNG</t>
  </si>
  <si>
    <t>KT. HIỆU TRƯỞNG</t>
  </si>
  <si>
    <t>M001K1</t>
  </si>
  <si>
    <t>Giáo dục thể chất</t>
  </si>
  <si>
    <t>K1</t>
  </si>
  <si>
    <t>PHÓ TRƯỞNG PHÒNG</t>
  </si>
  <si>
    <t>PHÓ HIỆU TRƯỞNG ĐÀO TẠO</t>
  </si>
  <si>
    <t>M008K1</t>
  </si>
  <si>
    <t>Giáo dục QP và An ninh</t>
  </si>
  <si>
    <t>M029K4</t>
  </si>
  <si>
    <t>Vi sinh vật - Ký sinh trùng</t>
  </si>
  <si>
    <t>M031K4</t>
  </si>
  <si>
    <t>Sinh học và di truyền</t>
  </si>
  <si>
    <t>M021K2</t>
  </si>
  <si>
    <t>Tâm lý học - Y Đức</t>
  </si>
  <si>
    <t>M030K4</t>
  </si>
  <si>
    <t>Phẫu thuật thực hành</t>
  </si>
  <si>
    <t>Thượng uý Cù Hoàng Đức Huy</t>
  </si>
  <si>
    <t>Trung tá Nguyễn Quyết Tâm</t>
  </si>
  <si>
    <t>Đại tá Đặng Viết Điệp</t>
  </si>
  <si>
    <t>M034K4</t>
  </si>
  <si>
    <t>Sinh lý bệnh - Miễn dịch</t>
  </si>
  <si>
    <t>M024K3</t>
  </si>
  <si>
    <t>Xác suất thống kê y học</t>
  </si>
  <si>
    <t xml:space="preserve">Tổng số </t>
  </si>
  <si>
    <t>CĐD2B1</t>
  </si>
  <si>
    <t>Đơn vị: Khoa Dược</t>
  </si>
  <si>
    <t>Sĩ số: 22</t>
  </si>
  <si>
    <t>CN lớp: DSCK1 Nguyễn Địch Long</t>
  </si>
  <si>
    <t>Kính gửi:…………………………………………</t>
  </si>
  <si>
    <t>Phòng học: 207-H1</t>
  </si>
  <si>
    <t>02
             08</t>
  </si>
  <si>
    <t>09
               15</t>
  </si>
  <si>
    <t>16
              22</t>
  </si>
  <si>
    <t>23
              29</t>
  </si>
  <si>
    <t>30
              05</t>
  </si>
  <si>
    <t>06
              12</t>
  </si>
  <si>
    <t>13
              19</t>
  </si>
  <si>
    <t>20
              26</t>
  </si>
  <si>
    <t>27
              03</t>
  </si>
  <si>
    <t>04
              10</t>
  </si>
  <si>
    <t>11
              17</t>
  </si>
  <si>
    <t>18
              24</t>
  </si>
  <si>
    <t>25
              31</t>
  </si>
  <si>
    <t>01
              07</t>
  </si>
  <si>
    <t>08
              14</t>
  </si>
  <si>
    <t>15
              21</t>
  </si>
  <si>
    <t>22
              28</t>
  </si>
  <si>
    <t>29
             05</t>
  </si>
  <si>
    <t>27
             02</t>
  </si>
  <si>
    <t>03
              09</t>
  </si>
  <si>
    <t>10
             16</t>
  </si>
  <si>
    <t>THI
PPNCKH</t>
  </si>
  <si>
    <t>THI
HHC
(L2)</t>
  </si>
  <si>
    <t>THI
TACB (2)</t>
  </si>
  <si>
    <t>THI
HHC</t>
  </si>
  <si>
    <t>THI
TVD (L2)</t>
  </si>
  <si>
    <t>THI
TACB</t>
  </si>
  <si>
    <t>THI
VSV -KST</t>
  </si>
  <si>
    <t>THI
VSV -KST
(l2)</t>
  </si>
  <si>
    <t>THI
HOÁ SINH</t>
  </si>
  <si>
    <t>THI
HS (L2)</t>
  </si>
  <si>
    <t>THI
TVD</t>
  </si>
  <si>
    <t>THI
GDCT</t>
  </si>
  <si>
    <t>THI
GDCT
(L2)</t>
  </si>
  <si>
    <t>THI
PL</t>
  </si>
  <si>
    <t>THI
PL
(L2)</t>
  </si>
  <si>
    <t>THI
HD</t>
  </si>
  <si>
    <t>M023K3</t>
  </si>
  <si>
    <t>Tiếng Anh cơ bản</t>
  </si>
  <si>
    <t>M101K8</t>
  </si>
  <si>
    <t>Thực vật dược</t>
  </si>
  <si>
    <t>K8</t>
  </si>
  <si>
    <t>M025K3</t>
  </si>
  <si>
    <t>PP nghiên cứu khoa học</t>
  </si>
  <si>
    <t>M099K8</t>
  </si>
  <si>
    <t>Hoá hữu cơ</t>
  </si>
  <si>
    <t>M019K2</t>
  </si>
  <si>
    <t>Giáo dục chính trị</t>
  </si>
  <si>
    <t>M102K8</t>
  </si>
  <si>
    <t>Hoá dược</t>
  </si>
  <si>
    <t>CĐĐD2B1</t>
  </si>
  <si>
    <t>Đơn vị: Khoa Điều dưỡng</t>
  </si>
  <si>
    <t>Sĩ số: 35</t>
  </si>
  <si>
    <t>CN lớp: CN Đặng Thị Vân</t>
  </si>
  <si>
    <t>Phòng học: 205-H1</t>
  </si>
  <si>
    <t xml:space="preserve">Ngày   </t>
  </si>
  <si>
    <t>09
            15</t>
  </si>
  <si>
    <t>04
             10</t>
  </si>
  <si>
    <t>15
             21</t>
  </si>
  <si>
    <t>THI ĐD2</t>
  </si>
  <si>
    <t>THI 
PL</t>
  </si>
  <si>
    <t>THI TH ĐD1, ĐD2</t>
  </si>
  <si>
    <t>THI
ĐD1
(l2)</t>
  </si>
  <si>
    <t>THI XSTK</t>
  </si>
  <si>
    <t>THI HS</t>
  </si>
  <si>
    <t>THI
XSTK
(L2)</t>
  </si>
  <si>
    <t>THI
CT</t>
  </si>
  <si>
    <t>THI 
TACN</t>
  </si>
  <si>
    <t>THI 
LẠI</t>
  </si>
  <si>
    <t>THI
VSV-KST</t>
  </si>
  <si>
    <t>THI
VSV-KST
(L2)</t>
  </si>
  <si>
    <t>THI
ĐD1</t>
  </si>
  <si>
    <t>THI
CT
(L2)</t>
  </si>
  <si>
    <t>Tiếng Anh chuyên ngành</t>
  </si>
  <si>
    <t>M0078K7</t>
  </si>
  <si>
    <t>Điều dưỡng cơ sở 1</t>
  </si>
  <si>
    <t>K7</t>
  </si>
  <si>
    <t>M0079K7</t>
  </si>
  <si>
    <t>Điều dưỡng cơ sở 2</t>
  </si>
  <si>
    <t>Chính trị</t>
  </si>
  <si>
    <t>M0033K4</t>
  </si>
  <si>
    <t>Xác xuất thống kê y học</t>
  </si>
  <si>
    <t>CĐĐD2B2</t>
  </si>
  <si>
    <t>CN lớp: CN Nguyễn Đình Tuấn</t>
  </si>
  <si>
    <t>Phòng học: 202-H1</t>
  </si>
  <si>
    <t>16
           22</t>
  </si>
  <si>
    <t>11
             17</t>
  </si>
  <si>
    <t>15
           21</t>
  </si>
  <si>
    <t>29
           05</t>
  </si>
  <si>
    <t>THI TACN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</si>
</sst>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70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20"/>
      <color theme="1"/>
      <name val="Times New Roman"/>
      <charset val="134"/>
    </font>
    <font>
      <b/>
      <sz val="48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20"/>
      <color theme="1"/>
      <name val="Times New Roman"/>
      <charset val="134"/>
    </font>
    <font>
      <sz val="16"/>
      <color theme="1"/>
      <name val="Times New Roman"/>
      <charset val="134"/>
    </font>
    <font>
      <b/>
      <sz val="22"/>
      <color theme="1"/>
      <name val="Times New Roman"/>
      <charset val="134"/>
    </font>
    <font>
      <b/>
      <sz val="18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sz val="12"/>
      <color theme="1"/>
      <name val="Times New Roman"/>
      <charset val="134"/>
    </font>
    <font>
      <sz val="8"/>
      <name val="Times New Roman"/>
      <charset val="134"/>
    </font>
    <font>
      <b/>
      <sz val="11"/>
      <color theme="1"/>
      <name val="Times New Roman"/>
      <charset val="134"/>
    </font>
    <font>
      <sz val="8"/>
      <color theme="1"/>
      <name val="Times New Roman"/>
      <charset val="134"/>
    </font>
    <font>
      <sz val="8"/>
      <color theme="0"/>
      <name val="Times New Roman"/>
      <charset val="134"/>
    </font>
    <font>
      <b/>
      <sz val="8"/>
      <color theme="1"/>
      <name val="Times New Roman"/>
      <charset val="134"/>
    </font>
    <font>
      <b/>
      <sz val="16"/>
      <name val="Times New Roman"/>
      <charset val="134"/>
    </font>
    <font>
      <i/>
      <sz val="11"/>
      <name val="Times New Roman"/>
      <charset val="134"/>
    </font>
    <font>
      <sz val="11"/>
      <name val="Times New Roman"/>
      <charset val="134"/>
    </font>
    <font>
      <b/>
      <sz val="8"/>
      <color theme="0"/>
      <name val="Times New Roman"/>
      <charset val="134"/>
    </font>
    <font>
      <b/>
      <sz val="11"/>
      <name val="Times New Roman"/>
      <charset val="134"/>
    </font>
    <font>
      <b/>
      <sz val="8"/>
      <name val="Times New Roman"/>
      <charset val="134"/>
    </font>
    <font>
      <b/>
      <sz val="20"/>
      <name val="Times New Roman"/>
      <charset val="134"/>
    </font>
    <font>
      <b/>
      <sz val="10"/>
      <color theme="1"/>
      <name val="Times New Roman"/>
      <charset val="134"/>
    </font>
    <font>
      <b/>
      <sz val="36"/>
      <color rgb="FFFF0000"/>
      <name val="Times New Roman"/>
      <charset val="134"/>
    </font>
    <font>
      <sz val="36"/>
      <color theme="1"/>
      <name val="Times New Roman"/>
      <charset val="134"/>
    </font>
    <font>
      <sz val="36"/>
      <color theme="0"/>
      <name val="Times New Roman"/>
      <charset val="134"/>
    </font>
    <font>
      <b/>
      <sz val="18"/>
      <name val="Times New Roman"/>
      <charset val="134"/>
    </font>
    <font>
      <sz val="16"/>
      <name val="Times New Roman"/>
      <charset val="134"/>
    </font>
    <font>
      <sz val="11"/>
      <color rgb="FFFF0000"/>
      <name val="Times New Roman"/>
      <charset val="134"/>
    </font>
    <font>
      <sz val="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i/>
      <sz val="18"/>
      <color theme="1"/>
      <name val="Times New Roman"/>
      <charset val="134"/>
    </font>
    <font>
      <sz val="14"/>
      <color theme="0"/>
      <name val="Times New Roman"/>
      <charset val="134"/>
    </font>
    <font>
      <b/>
      <sz val="14"/>
      <color theme="0"/>
      <name val="Times New Roman"/>
      <charset val="134"/>
    </font>
    <font>
      <sz val="10"/>
      <color theme="0"/>
      <name val="Times New Roman"/>
      <charset val="134"/>
    </font>
    <font>
      <sz val="11"/>
      <color theme="0"/>
      <name val="Calibri"/>
      <charset val="134"/>
      <scheme val="minor"/>
    </font>
    <font>
      <sz val="10"/>
      <color theme="1"/>
      <name val="Times New Roman"/>
      <charset val="134"/>
    </font>
    <font>
      <sz val="14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1"/>
      <color theme="0"/>
      <name val="Times New Roman"/>
      <charset val="134"/>
    </font>
    <font>
      <b/>
      <sz val="11"/>
      <color theme="0"/>
      <name val="Times New Roman"/>
      <charset val="134"/>
    </font>
    <font>
      <b/>
      <sz val="10"/>
      <color theme="0"/>
      <name val="Times New Roman"/>
      <charset val="134"/>
    </font>
    <font>
      <sz val="12"/>
      <color theme="0"/>
      <name val="Times New Roman"/>
      <charset val="134"/>
    </font>
    <font>
      <b/>
      <sz val="9"/>
      <name val="Times New Roman"/>
      <charset val="134"/>
    </font>
    <font>
      <sz val="7"/>
      <color theme="0"/>
      <name val="Times New Roman"/>
      <charset val="134"/>
    </font>
    <font>
      <b/>
      <sz val="7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6"/>
      <name val="Times New Roman"/>
      <charset val="134"/>
    </font>
  </fonts>
  <fills count="5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89999084444715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9" fillId="0" borderId="0" applyFont="0" applyFill="0" applyBorder="0" applyAlignment="0" applyProtection="0">
      <alignment vertical="center"/>
    </xf>
    <xf numFmtId="44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9" fillId="19" borderId="80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81" applyNumberFormat="0" applyFill="0" applyAlignment="0" applyProtection="0">
      <alignment vertical="center"/>
    </xf>
    <xf numFmtId="0" fontId="56" fillId="0" borderId="81" applyNumberFormat="0" applyFill="0" applyAlignment="0" applyProtection="0">
      <alignment vertical="center"/>
    </xf>
    <xf numFmtId="0" fontId="57" fillId="0" borderId="82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20" borderId="83" applyNumberFormat="0" applyAlignment="0" applyProtection="0">
      <alignment vertical="center"/>
    </xf>
    <xf numFmtId="0" fontId="59" fillId="21" borderId="84" applyNumberFormat="0" applyAlignment="0" applyProtection="0">
      <alignment vertical="center"/>
    </xf>
    <xf numFmtId="0" fontId="60" fillId="21" borderId="83" applyNumberFormat="0" applyAlignment="0" applyProtection="0">
      <alignment vertical="center"/>
    </xf>
    <xf numFmtId="0" fontId="61" fillId="22" borderId="85" applyNumberFormat="0" applyAlignment="0" applyProtection="0">
      <alignment vertical="center"/>
    </xf>
    <xf numFmtId="0" fontId="62" fillId="0" borderId="86" applyNumberFormat="0" applyFill="0" applyAlignment="0" applyProtection="0">
      <alignment vertical="center"/>
    </xf>
    <xf numFmtId="0" fontId="63" fillId="0" borderId="87" applyNumberFormat="0" applyFill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7" fillId="26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30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4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6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8" borderId="0" applyNumberFormat="0" applyBorder="0" applyAlignment="0" applyProtection="0">
      <alignment vertical="center"/>
    </xf>
    <xf numFmtId="0" fontId="68" fillId="39" borderId="0" applyNumberFormat="0" applyBorder="0" applyAlignment="0" applyProtection="0">
      <alignment vertical="center"/>
    </xf>
    <xf numFmtId="0" fontId="68" fillId="40" borderId="0" applyNumberFormat="0" applyBorder="0" applyAlignment="0" applyProtection="0">
      <alignment vertical="center"/>
    </xf>
    <xf numFmtId="0" fontId="67" fillId="41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4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8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</cellStyleXfs>
  <cellXfs count="69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/>
    <xf numFmtId="0" fontId="6" fillId="0" borderId="0" xfId="0" applyFont="1" applyAlignment="1">
      <alignment vertical="center"/>
    </xf>
    <xf numFmtId="0" fontId="6" fillId="0" borderId="0" xfId="0" applyFont="1"/>
    <xf numFmtId="16" fontId="1" fillId="0" borderId="0" xfId="0" applyNumberFormat="1" applyFont="1"/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right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16" fontId="6" fillId="0" borderId="16" xfId="0" applyNumberFormat="1" applyFont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4" fillId="4" borderId="18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 wrapText="1"/>
    </xf>
    <xf numFmtId="0" fontId="12" fillId="4" borderId="19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0" fontId="15" fillId="4" borderId="1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5" fillId="2" borderId="22" xfId="0" applyFont="1" applyFill="1" applyBorder="1" applyAlignment="1">
      <alignment horizontal="center" vertical="center" wrapText="1"/>
    </xf>
    <xf numFmtId="0" fontId="16" fillId="5" borderId="18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/>
    </xf>
    <xf numFmtId="0" fontId="17" fillId="0" borderId="23" xfId="0" applyFont="1" applyBorder="1" applyAlignment="1">
      <alignment horizontal="center" vertical="center" textRotation="90" wrapText="1"/>
    </xf>
    <xf numFmtId="0" fontId="17" fillId="0" borderId="24" xfId="0" applyFont="1" applyBorder="1" applyAlignment="1">
      <alignment horizontal="center" vertical="center" textRotation="90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16" fontId="6" fillId="0" borderId="26" xfId="0" applyNumberFormat="1" applyFont="1" applyBorder="1" applyAlignment="1">
      <alignment horizontal="center" vertical="center"/>
    </xf>
    <xf numFmtId="0" fontId="12" fillId="6" borderId="27" xfId="0" applyFont="1" applyFill="1" applyBorder="1" applyAlignment="1">
      <alignment horizontal="center" vertical="center" wrapText="1"/>
    </xf>
    <xf numFmtId="0" fontId="12" fillId="6" borderId="28" xfId="0" applyFont="1" applyFill="1" applyBorder="1" applyAlignment="1">
      <alignment horizontal="center" vertical="center" wrapText="1"/>
    </xf>
    <xf numFmtId="0" fontId="14" fillId="6" borderId="29" xfId="0" applyFont="1" applyFill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20" fillId="7" borderId="28" xfId="0" applyFont="1" applyFill="1" applyBorder="1" applyAlignment="1">
      <alignment horizontal="center" vertical="center" wrapText="1"/>
    </xf>
    <xf numFmtId="0" fontId="15" fillId="7" borderId="28" xfId="0" applyFont="1" applyFill="1" applyBorder="1" applyAlignment="1">
      <alignment horizontal="center" vertical="center" wrapText="1"/>
    </xf>
    <xf numFmtId="0" fontId="15" fillId="7" borderId="29" xfId="0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 wrapText="1"/>
    </xf>
    <xf numFmtId="0" fontId="20" fillId="2" borderId="31" xfId="0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center"/>
    </xf>
    <xf numFmtId="0" fontId="20" fillId="8" borderId="28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8" fillId="0" borderId="32" xfId="0" applyFont="1" applyBorder="1" applyAlignment="1">
      <alignment horizontal="center" vertical="center"/>
    </xf>
    <xf numFmtId="0" fontId="12" fillId="4" borderId="33" xfId="0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2" fillId="9" borderId="18" xfId="0" applyFont="1" applyFill="1" applyBorder="1" applyAlignment="1">
      <alignment horizontal="center" vertical="center" wrapText="1"/>
    </xf>
    <xf numFmtId="0" fontId="12" fillId="9" borderId="19" xfId="0" applyFont="1" applyFill="1" applyBorder="1" applyAlignment="1">
      <alignment horizontal="center" vertical="center" wrapText="1"/>
    </xf>
    <xf numFmtId="0" fontId="22" fillId="6" borderId="23" xfId="0" applyFont="1" applyFill="1" applyBorder="1" applyAlignment="1">
      <alignment horizontal="center" vertical="center" wrapText="1"/>
    </xf>
    <xf numFmtId="0" fontId="15" fillId="6" borderId="18" xfId="0" applyFont="1" applyFill="1" applyBorder="1" applyAlignment="1">
      <alignment horizontal="center" vertical="center"/>
    </xf>
    <xf numFmtId="0" fontId="15" fillId="6" borderId="18" xfId="0" applyFont="1" applyFill="1" applyBorder="1" applyAlignment="1">
      <alignment horizontal="center" vertical="center" wrapText="1"/>
    </xf>
    <xf numFmtId="0" fontId="15" fillId="6" borderId="19" xfId="0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0" fontId="20" fillId="2" borderId="34" xfId="0" applyFont="1" applyFill="1" applyBorder="1" applyAlignment="1">
      <alignment horizontal="center" vertical="center" wrapText="1"/>
    </xf>
    <xf numFmtId="0" fontId="14" fillId="2" borderId="35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12" fillId="10" borderId="27" xfId="0" applyFont="1" applyFill="1" applyBorder="1" applyAlignment="1">
      <alignment horizontal="center" vertical="center" wrapText="1"/>
    </xf>
    <xf numFmtId="0" fontId="12" fillId="10" borderId="28" xfId="0" applyFont="1" applyFill="1" applyBorder="1" applyAlignment="1">
      <alignment horizontal="center" vertical="center" wrapText="1"/>
    </xf>
    <xf numFmtId="0" fontId="14" fillId="10" borderId="29" xfId="0" applyFont="1" applyFill="1" applyBorder="1" applyAlignment="1">
      <alignment horizontal="center" vertical="center" wrapText="1"/>
    </xf>
    <xf numFmtId="0" fontId="22" fillId="10" borderId="36" xfId="0" applyFont="1" applyFill="1" applyBorder="1" applyAlignment="1">
      <alignment horizontal="center" vertical="center" wrapText="1"/>
    </xf>
    <xf numFmtId="0" fontId="15" fillId="10" borderId="28" xfId="0" applyFont="1" applyFill="1" applyBorder="1" applyAlignment="1">
      <alignment horizontal="center" vertical="center" wrapText="1"/>
    </xf>
    <xf numFmtId="0" fontId="15" fillId="10" borderId="37" xfId="0" applyFont="1" applyFill="1" applyBorder="1" applyAlignment="1">
      <alignment horizontal="center" vertical="center" wrapText="1"/>
    </xf>
    <xf numFmtId="0" fontId="12" fillId="10" borderId="19" xfId="0" applyFont="1" applyFill="1" applyBorder="1" applyAlignment="1">
      <alignment horizontal="center" vertical="center" wrapText="1"/>
    </xf>
    <xf numFmtId="0" fontId="24" fillId="4" borderId="38" xfId="0" applyFont="1" applyFill="1" applyBorder="1" applyAlignment="1">
      <alignment horizontal="center" vertical="center" wrapText="1"/>
    </xf>
    <xf numFmtId="0" fontId="12" fillId="10" borderId="37" xfId="0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8" borderId="40" xfId="0" applyFont="1" applyFill="1" applyBorder="1" applyAlignment="1">
      <alignment horizontal="center" vertical="center" wrapText="1"/>
    </xf>
    <xf numFmtId="0" fontId="12" fillId="8" borderId="37" xfId="0" applyFont="1" applyFill="1" applyBorder="1" applyAlignment="1">
      <alignment horizontal="center" vertical="center" wrapText="1"/>
    </xf>
    <xf numFmtId="0" fontId="12" fillId="8" borderId="41" xfId="0" applyFont="1" applyFill="1" applyBorder="1" applyAlignment="1">
      <alignment horizontal="center" vertical="center" wrapText="1"/>
    </xf>
    <xf numFmtId="0" fontId="12" fillId="8" borderId="42" xfId="0" applyFont="1" applyFill="1" applyBorder="1" applyAlignment="1">
      <alignment horizontal="center" vertical="center" wrapText="1"/>
    </xf>
    <xf numFmtId="0" fontId="22" fillId="4" borderId="18" xfId="0" applyFont="1" applyFill="1" applyBorder="1" applyAlignment="1">
      <alignment horizontal="center" vertical="center" wrapText="1"/>
    </xf>
    <xf numFmtId="0" fontId="14" fillId="2" borderId="37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left" vertical="center" wrapText="1"/>
    </xf>
    <xf numFmtId="0" fontId="26" fillId="0" borderId="0" xfId="0" applyFont="1"/>
    <xf numFmtId="0" fontId="12" fillId="3" borderId="33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" fillId="4" borderId="43" xfId="0" applyFont="1" applyFill="1" applyBorder="1" applyAlignment="1">
      <alignment horizontal="center" vertical="center" wrapText="1"/>
    </xf>
    <xf numFmtId="49" fontId="12" fillId="4" borderId="18" xfId="0" applyNumberFormat="1" applyFont="1" applyFill="1" applyBorder="1" applyAlignment="1">
      <alignment horizontal="center" vertical="center"/>
    </xf>
    <xf numFmtId="0" fontId="22" fillId="4" borderId="44" xfId="0" applyFont="1" applyFill="1" applyBorder="1" applyAlignment="1">
      <alignment horizontal="center" vertical="center" wrapText="1"/>
    </xf>
    <xf numFmtId="0" fontId="22" fillId="9" borderId="18" xfId="0" applyFont="1" applyFill="1" applyBorder="1" applyAlignment="1">
      <alignment horizontal="center" vertical="center" wrapText="1"/>
    </xf>
    <xf numFmtId="0" fontId="20" fillId="2" borderId="19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27" fillId="8" borderId="0" xfId="0" applyFont="1" applyFill="1"/>
    <xf numFmtId="0" fontId="12" fillId="2" borderId="27" xfId="0" applyFont="1" applyFill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 wrapText="1"/>
    </xf>
    <xf numFmtId="0" fontId="12" fillId="9" borderId="36" xfId="0" applyFont="1" applyFill="1" applyBorder="1" applyAlignment="1">
      <alignment horizontal="center" vertical="center" wrapText="1"/>
    </xf>
    <xf numFmtId="0" fontId="12" fillId="9" borderId="37" xfId="0" applyFont="1" applyFill="1" applyBorder="1" applyAlignment="1">
      <alignment horizontal="center" vertical="center" wrapText="1"/>
    </xf>
    <xf numFmtId="0" fontId="12" fillId="9" borderId="28" xfId="0" applyFont="1" applyFill="1" applyBorder="1" applyAlignment="1">
      <alignment horizontal="center" vertical="center" wrapText="1"/>
    </xf>
    <xf numFmtId="0" fontId="12" fillId="9" borderId="41" xfId="0" applyFont="1" applyFill="1" applyBorder="1" applyAlignment="1">
      <alignment horizontal="center" vertical="center" wrapText="1"/>
    </xf>
    <xf numFmtId="0" fontId="12" fillId="9" borderId="43" xfId="0" applyFont="1" applyFill="1" applyBorder="1" applyAlignment="1">
      <alignment horizontal="center" vertical="center" wrapText="1"/>
    </xf>
    <xf numFmtId="0" fontId="15" fillId="7" borderId="37" xfId="0" applyFont="1" applyFill="1" applyBorder="1" applyAlignment="1">
      <alignment horizontal="center" vertical="center" wrapText="1"/>
    </xf>
    <xf numFmtId="49" fontId="15" fillId="7" borderId="37" xfId="0" applyNumberFormat="1" applyFont="1" applyFill="1" applyBorder="1" applyAlignment="1">
      <alignment horizontal="center" vertical="center"/>
    </xf>
    <xf numFmtId="0" fontId="15" fillId="7" borderId="39" xfId="0" applyFont="1" applyFill="1" applyBorder="1" applyAlignment="1">
      <alignment horizontal="center" vertical="center" wrapText="1"/>
    </xf>
    <xf numFmtId="0" fontId="15" fillId="2" borderId="40" xfId="0" applyFont="1" applyFill="1" applyBorder="1" applyAlignment="1">
      <alignment horizontal="center" vertical="center" wrapText="1"/>
    </xf>
    <xf numFmtId="0" fontId="15" fillId="2" borderId="37" xfId="0" applyFont="1" applyFill="1" applyBorder="1" applyAlignment="1">
      <alignment horizontal="center" vertical="center" wrapText="1"/>
    </xf>
    <xf numFmtId="0" fontId="16" fillId="9" borderId="19" xfId="0" applyFont="1" applyFill="1" applyBorder="1" applyAlignment="1">
      <alignment horizontal="center" vertical="center" wrapText="1"/>
    </xf>
    <xf numFmtId="0" fontId="20" fillId="2" borderId="45" xfId="0" applyFont="1" applyFill="1" applyBorder="1" applyAlignment="1">
      <alignment horizontal="center" vertical="center" wrapText="1"/>
    </xf>
    <xf numFmtId="0" fontId="14" fillId="2" borderId="37" xfId="0" applyFont="1" applyFill="1" applyBorder="1" applyAlignment="1">
      <alignment horizontal="center" vertical="center"/>
    </xf>
    <xf numFmtId="0" fontId="22" fillId="4" borderId="33" xfId="0" applyFont="1" applyFill="1" applyBorder="1" applyAlignment="1">
      <alignment horizontal="center" vertical="center" wrapText="1"/>
    </xf>
    <xf numFmtId="0" fontId="22" fillId="11" borderId="43" xfId="0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 wrapText="1"/>
    </xf>
    <xf numFmtId="0" fontId="13" fillId="11" borderId="46" xfId="0" applyFont="1" applyFill="1" applyBorder="1" applyAlignment="1">
      <alignment horizontal="center" vertical="center" textRotation="90" wrapText="1"/>
    </xf>
    <xf numFmtId="0" fontId="16" fillId="11" borderId="35" xfId="0" applyFont="1" applyFill="1" applyBorder="1" applyAlignment="1">
      <alignment horizontal="center" vertical="center"/>
    </xf>
    <xf numFmtId="0" fontId="15" fillId="6" borderId="35" xfId="0" applyFont="1" applyFill="1" applyBorder="1" applyAlignment="1">
      <alignment horizontal="center" vertical="center" wrapText="1"/>
    </xf>
    <xf numFmtId="0" fontId="15" fillId="6" borderId="44" xfId="0" applyFont="1" applyFill="1" applyBorder="1" applyAlignment="1">
      <alignment horizontal="center" vertical="center" wrapText="1"/>
    </xf>
    <xf numFmtId="0" fontId="22" fillId="10" borderId="43" xfId="0" applyFont="1" applyFill="1" applyBorder="1" applyAlignment="1">
      <alignment horizontal="center" vertical="center" wrapText="1"/>
    </xf>
    <xf numFmtId="0" fontId="15" fillId="6" borderId="47" xfId="0" applyFont="1" applyFill="1" applyBorder="1" applyAlignment="1">
      <alignment horizontal="center" vertical="center" wrapText="1"/>
    </xf>
    <xf numFmtId="0" fontId="22" fillId="2" borderId="47" xfId="0" applyFont="1" applyFill="1" applyBorder="1" applyAlignment="1">
      <alignment horizontal="center" vertical="center" wrapText="1"/>
    </xf>
    <xf numFmtId="0" fontId="16" fillId="6" borderId="35" xfId="0" applyFont="1" applyFill="1" applyBorder="1" applyAlignment="1">
      <alignment horizontal="center" vertical="center" wrapText="1"/>
    </xf>
    <xf numFmtId="0" fontId="22" fillId="2" borderId="48" xfId="0" applyFont="1" applyFill="1" applyBorder="1" applyAlignment="1">
      <alignment horizontal="center" vertical="center" wrapText="1"/>
    </xf>
    <xf numFmtId="0" fontId="22" fillId="10" borderId="30" xfId="0" applyFont="1" applyFill="1" applyBorder="1" applyAlignment="1">
      <alignment horizontal="center" vertical="center" wrapText="1"/>
    </xf>
    <xf numFmtId="0" fontId="22" fillId="10" borderId="28" xfId="0" applyFont="1" applyFill="1" applyBorder="1" applyAlignment="1">
      <alignment horizontal="center" vertical="center" wrapText="1"/>
    </xf>
    <xf numFmtId="0" fontId="15" fillId="10" borderId="49" xfId="0" applyFont="1" applyFill="1" applyBorder="1" applyAlignment="1">
      <alignment horizontal="center" vertical="center" wrapText="1"/>
    </xf>
    <xf numFmtId="0" fontId="13" fillId="11" borderId="30" xfId="0" applyFont="1" applyFill="1" applyBorder="1" applyAlignment="1">
      <alignment horizontal="center" vertical="center" textRotation="90" wrapText="1"/>
    </xf>
    <xf numFmtId="0" fontId="14" fillId="10" borderId="28" xfId="0" applyFont="1" applyFill="1" applyBorder="1" applyAlignment="1">
      <alignment horizontal="center" vertical="center" wrapText="1"/>
    </xf>
    <xf numFmtId="0" fontId="14" fillId="2" borderId="49" xfId="0" applyFont="1" applyFill="1" applyBorder="1" applyAlignment="1">
      <alignment horizontal="center" vertical="center" wrapText="1"/>
    </xf>
    <xf numFmtId="0" fontId="14" fillId="2" borderId="41" xfId="0" applyFont="1" applyFill="1" applyBorder="1" applyAlignment="1">
      <alignment horizontal="center" vertical="center" wrapText="1"/>
    </xf>
    <xf numFmtId="0" fontId="14" fillId="8" borderId="30" xfId="0" applyFont="1" applyFill="1" applyBorder="1" applyAlignment="1">
      <alignment horizontal="center" vertical="center" wrapText="1"/>
    </xf>
    <xf numFmtId="0" fontId="14" fillId="8" borderId="28" xfId="0" applyFont="1" applyFill="1" applyBorder="1" applyAlignment="1">
      <alignment horizontal="center" vertical="center" wrapText="1"/>
    </xf>
    <xf numFmtId="0" fontId="12" fillId="8" borderId="28" xfId="0" applyFont="1" applyFill="1" applyBorder="1" applyAlignment="1">
      <alignment horizontal="center" vertical="center" wrapText="1"/>
    </xf>
    <xf numFmtId="0" fontId="22" fillId="8" borderId="29" xfId="0" applyFont="1" applyFill="1" applyBorder="1" applyAlignment="1">
      <alignment horizontal="center" vertical="center" wrapText="1"/>
    </xf>
    <xf numFmtId="0" fontId="22" fillId="2" borderId="31" xfId="0" applyFont="1" applyFill="1" applyBorder="1" applyAlignment="1">
      <alignment horizontal="center" vertical="center" wrapText="1"/>
    </xf>
    <xf numFmtId="0" fontId="16" fillId="2" borderId="28" xfId="0" applyFont="1" applyFill="1" applyBorder="1" applyAlignment="1">
      <alignment horizontal="center" vertical="center" wrapText="1"/>
    </xf>
    <xf numFmtId="0" fontId="22" fillId="2" borderId="28" xfId="0" applyFont="1" applyFill="1" applyBorder="1" applyAlignment="1">
      <alignment horizontal="center" vertical="center" wrapText="1"/>
    </xf>
    <xf numFmtId="0" fontId="1" fillId="2" borderId="0" xfId="0" applyFont="1" applyFill="1"/>
    <xf numFmtId="0" fontId="20" fillId="3" borderId="23" xfId="0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0" fontId="22" fillId="4" borderId="19" xfId="0" applyFont="1" applyFill="1" applyBorder="1" applyAlignment="1">
      <alignment horizontal="center" vertical="center" wrapText="1"/>
    </xf>
    <xf numFmtId="0" fontId="13" fillId="2" borderId="46" xfId="0" applyFont="1" applyFill="1" applyBorder="1" applyAlignment="1">
      <alignment horizontal="center" vertical="center" textRotation="90" wrapText="1"/>
    </xf>
    <xf numFmtId="0" fontId="12" fillId="4" borderId="50" xfId="0" applyFont="1" applyFill="1" applyBorder="1" applyAlignment="1">
      <alignment horizontal="center" vertical="center" wrapText="1"/>
    </xf>
    <xf numFmtId="0" fontId="15" fillId="4" borderId="44" xfId="0" applyFont="1" applyFill="1" applyBorder="1" applyAlignment="1">
      <alignment horizontal="center" vertical="center" wrapText="1"/>
    </xf>
    <xf numFmtId="0" fontId="16" fillId="10" borderId="18" xfId="0" applyFont="1" applyFill="1" applyBorder="1" applyAlignment="1">
      <alignment horizontal="center" vertical="center" wrapText="1"/>
    </xf>
    <xf numFmtId="0" fontId="16" fillId="2" borderId="50" xfId="0" applyFont="1" applyFill="1" applyBorder="1" applyAlignment="1">
      <alignment horizontal="center" vertical="center" wrapText="1"/>
    </xf>
    <xf numFmtId="0" fontId="16" fillId="2" borderId="44" xfId="0" applyFont="1" applyFill="1" applyBorder="1" applyAlignment="1">
      <alignment horizontal="center" vertical="center" wrapText="1"/>
    </xf>
    <xf numFmtId="0" fontId="16" fillId="2" borderId="43" xfId="0" applyFont="1" applyFill="1" applyBorder="1" applyAlignment="1">
      <alignment horizontal="center" vertical="center" wrapText="1"/>
    </xf>
    <xf numFmtId="0" fontId="16" fillId="2" borderId="47" xfId="0" applyFont="1" applyFill="1" applyBorder="1" applyAlignment="1">
      <alignment horizontal="center" vertical="center" wrapText="1"/>
    </xf>
    <xf numFmtId="16" fontId="6" fillId="0" borderId="51" xfId="0" applyNumberFormat="1" applyFont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4" fillId="6" borderId="38" xfId="0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9" borderId="14" xfId="0" applyFont="1" applyFill="1" applyBorder="1" applyAlignment="1">
      <alignment horizontal="center" vertical="center"/>
    </xf>
    <xf numFmtId="0" fontId="13" fillId="2" borderId="52" xfId="0" applyFont="1" applyFill="1" applyBorder="1" applyAlignment="1">
      <alignment horizontal="center" vertical="center" textRotation="90" wrapText="1"/>
    </xf>
    <xf numFmtId="0" fontId="12" fillId="11" borderId="13" xfId="0" applyFont="1" applyFill="1" applyBorder="1" applyAlignment="1">
      <alignment horizontal="center" vertical="center" wrapText="1"/>
    </xf>
    <xf numFmtId="0" fontId="20" fillId="7" borderId="13" xfId="0" applyFont="1" applyFill="1" applyBorder="1" applyAlignment="1">
      <alignment horizontal="center" vertical="center" wrapText="1"/>
    </xf>
    <xf numFmtId="0" fontId="15" fillId="7" borderId="13" xfId="0" applyFont="1" applyFill="1" applyBorder="1" applyAlignment="1">
      <alignment horizontal="center" vertical="center" wrapText="1"/>
    </xf>
    <xf numFmtId="0" fontId="15" fillId="7" borderId="1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 wrapText="1"/>
    </xf>
    <xf numFmtId="0" fontId="15" fillId="2" borderId="53" xfId="0" applyFont="1" applyFill="1" applyBorder="1" applyAlignment="1">
      <alignment horizontal="center" vertical="center" wrapText="1"/>
    </xf>
    <xf numFmtId="0" fontId="15" fillId="2" borderId="54" xfId="0" applyFont="1" applyFill="1" applyBorder="1" applyAlignment="1">
      <alignment horizontal="center" vertical="center" wrapText="1"/>
    </xf>
    <xf numFmtId="0" fontId="20" fillId="2" borderId="55" xfId="0" applyFont="1" applyFill="1" applyBorder="1" applyAlignment="1">
      <alignment horizontal="center" vertical="center" wrapText="1"/>
    </xf>
    <xf numFmtId="0" fontId="16" fillId="2" borderId="56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textRotation="90" wrapText="1"/>
    </xf>
    <xf numFmtId="0" fontId="17" fillId="0" borderId="14" xfId="0" applyFont="1" applyBorder="1" applyAlignment="1">
      <alignment horizontal="center" vertical="center" textRotation="90" wrapText="1"/>
    </xf>
    <xf numFmtId="0" fontId="10" fillId="0" borderId="57" xfId="0" applyFont="1" applyBorder="1"/>
    <xf numFmtId="0" fontId="1" fillId="0" borderId="58" xfId="0" applyFont="1" applyBorder="1"/>
    <xf numFmtId="0" fontId="10" fillId="0" borderId="58" xfId="0" applyFont="1" applyBorder="1"/>
    <xf numFmtId="0" fontId="10" fillId="0" borderId="59" xfId="0" applyFont="1" applyBorder="1"/>
    <xf numFmtId="0" fontId="10" fillId="0" borderId="60" xfId="0" applyFont="1" applyBorder="1"/>
    <xf numFmtId="0" fontId="1" fillId="0" borderId="61" xfId="0" applyFont="1" applyBorder="1"/>
    <xf numFmtId="0" fontId="10" fillId="0" borderId="62" xfId="0" applyFont="1" applyBorder="1"/>
    <xf numFmtId="0" fontId="10" fillId="0" borderId="0" xfId="0" applyFont="1" applyBorder="1"/>
    <xf numFmtId="0" fontId="1" fillId="0" borderId="0" xfId="0" applyFont="1" applyBorder="1"/>
    <xf numFmtId="0" fontId="1" fillId="0" borderId="63" xfId="0" applyFont="1" applyBorder="1"/>
    <xf numFmtId="0" fontId="28" fillId="2" borderId="62" xfId="0" applyFont="1" applyFill="1" applyBorder="1" applyAlignment="1">
      <alignment horizontal="right" vertical="center"/>
    </xf>
    <xf numFmtId="0" fontId="28" fillId="2" borderId="0" xfId="0" applyFont="1" applyFill="1" applyBorder="1" applyAlignment="1">
      <alignment horizontal="right" vertical="center"/>
    </xf>
    <xf numFmtId="0" fontId="29" fillId="2" borderId="0" xfId="0" applyFont="1" applyFill="1" applyBorder="1" applyAlignment="1">
      <alignment horizontal="left" vertical="center" wrapText="1"/>
    </xf>
    <xf numFmtId="0" fontId="29" fillId="2" borderId="63" xfId="0" applyFont="1" applyFill="1" applyBorder="1" applyAlignment="1">
      <alignment horizontal="left" vertical="center" wrapText="1"/>
    </xf>
    <xf numFmtId="0" fontId="29" fillId="2" borderId="0" xfId="0" applyFont="1" applyFill="1" applyBorder="1" applyAlignment="1">
      <alignment vertical="center" wrapText="1"/>
    </xf>
    <xf numFmtId="0" fontId="18" fillId="2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 vertical="center"/>
    </xf>
    <xf numFmtId="0" fontId="28" fillId="2" borderId="62" xfId="0" applyFont="1" applyFill="1" applyBorder="1" applyAlignment="1">
      <alignment horizontal="center" vertical="center"/>
    </xf>
    <xf numFmtId="16" fontId="29" fillId="2" borderId="0" xfId="0" applyNumberFormat="1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 wrapText="1"/>
    </xf>
    <xf numFmtId="0" fontId="21" fillId="2" borderId="63" xfId="0" applyFont="1" applyFill="1" applyBorder="1" applyAlignment="1">
      <alignment horizontal="center" vertical="center" textRotation="90" wrapText="1"/>
    </xf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 applyAlignment="1">
      <alignment horizontal="center" vertical="center"/>
    </xf>
    <xf numFmtId="0" fontId="9" fillId="0" borderId="66" xfId="0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10" fillId="0" borderId="65" xfId="0" applyFont="1" applyBorder="1"/>
    <xf numFmtId="0" fontId="9" fillId="0" borderId="66" xfId="0" applyFont="1" applyBorder="1"/>
    <xf numFmtId="0" fontId="10" fillId="0" borderId="66" xfId="0" applyFont="1" applyBorder="1"/>
    <xf numFmtId="0" fontId="10" fillId="2" borderId="66" xfId="0" applyFont="1" applyFill="1" applyBorder="1"/>
    <xf numFmtId="0" fontId="1" fillId="0" borderId="69" xfId="0" applyFont="1" applyBorder="1"/>
    <xf numFmtId="0" fontId="9" fillId="0" borderId="21" xfId="0" applyFont="1" applyBorder="1" applyAlignment="1">
      <alignment horizontal="center" vertical="center"/>
    </xf>
    <xf numFmtId="0" fontId="9" fillId="0" borderId="70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71" xfId="0" applyFont="1" applyBorder="1" applyAlignment="1">
      <alignment horizontal="center" vertical="center" wrapText="1"/>
    </xf>
    <xf numFmtId="0" fontId="1" fillId="0" borderId="72" xfId="0" applyFont="1" applyBorder="1"/>
    <xf numFmtId="0" fontId="8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8" fillId="0" borderId="63" xfId="0" applyFont="1" applyBorder="1" applyAlignment="1">
      <alignment horizontal="center" vertical="center"/>
    </xf>
    <xf numFmtId="0" fontId="10" fillId="6" borderId="73" xfId="0" applyFont="1" applyFill="1" applyBorder="1" applyAlignment="1">
      <alignment horizontal="center" vertical="center"/>
    </xf>
    <xf numFmtId="0" fontId="10" fillId="6" borderId="74" xfId="0" applyFont="1" applyFill="1" applyBorder="1" applyAlignment="1">
      <alignment horizontal="left"/>
    </xf>
    <xf numFmtId="0" fontId="10" fillId="6" borderId="75" xfId="0" applyFont="1" applyFill="1" applyBorder="1" applyAlignment="1">
      <alignment horizontal="left"/>
    </xf>
    <xf numFmtId="0" fontId="10" fillId="6" borderId="76" xfId="0" applyFont="1" applyFill="1" applyBorder="1" applyAlignment="1">
      <alignment horizontal="left"/>
    </xf>
    <xf numFmtId="0" fontId="10" fillId="6" borderId="23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/>
    </xf>
    <xf numFmtId="0" fontId="31" fillId="6" borderId="23" xfId="0" applyFont="1" applyFill="1" applyBorder="1" applyAlignment="1">
      <alignment horizontal="center" vertical="center" wrapText="1"/>
    </xf>
    <xf numFmtId="0" fontId="10" fillId="0" borderId="72" xfId="0" applyFont="1" applyBorder="1"/>
    <xf numFmtId="0" fontId="32" fillId="2" borderId="0" xfId="0" applyFont="1" applyFill="1" applyBorder="1" applyAlignment="1">
      <alignment horizontal="center" vertical="center"/>
    </xf>
    <xf numFmtId="0" fontId="10" fillId="2" borderId="0" xfId="0" applyFont="1" applyFill="1" applyBorder="1"/>
    <xf numFmtId="0" fontId="1" fillId="2" borderId="0" xfId="0" applyFont="1" applyFill="1" applyBorder="1"/>
    <xf numFmtId="0" fontId="8" fillId="0" borderId="0" xfId="0" applyFont="1" applyBorder="1"/>
    <xf numFmtId="0" fontId="13" fillId="0" borderId="0" xfId="0" applyFont="1" applyBorder="1"/>
    <xf numFmtId="0" fontId="0" fillId="6" borderId="23" xfId="0" applyFill="1" applyBorder="1" applyAlignment="1">
      <alignment horizontal="left"/>
    </xf>
    <xf numFmtId="0" fontId="33" fillId="0" borderId="0" xfId="0" applyFont="1" applyBorder="1" applyAlignment="1">
      <alignment horizontal="center"/>
    </xf>
    <xf numFmtId="0" fontId="10" fillId="4" borderId="73" xfId="0" applyFont="1" applyFill="1" applyBorder="1" applyAlignment="1">
      <alignment horizontal="center" vertical="center"/>
    </xf>
    <xf numFmtId="0" fontId="10" fillId="4" borderId="74" xfId="0" applyFont="1" applyFill="1" applyBorder="1" applyAlignment="1">
      <alignment horizontal="left"/>
    </xf>
    <xf numFmtId="0" fontId="10" fillId="4" borderId="75" xfId="0" applyFont="1" applyFill="1" applyBorder="1" applyAlignment="1">
      <alignment horizontal="left"/>
    </xf>
    <xf numFmtId="0" fontId="10" fillId="4" borderId="76" xfId="0" applyFont="1" applyFill="1" applyBorder="1" applyAlignment="1">
      <alignment horizontal="left"/>
    </xf>
    <xf numFmtId="0" fontId="10" fillId="4" borderId="23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8" fillId="0" borderId="72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Border="1" applyAlignment="1"/>
    <xf numFmtId="0" fontId="10" fillId="10" borderId="73" xfId="0" applyFont="1" applyFill="1" applyBorder="1" applyAlignment="1">
      <alignment horizontal="center" vertical="center"/>
    </xf>
    <xf numFmtId="0" fontId="10" fillId="10" borderId="74" xfId="0" applyFont="1" applyFill="1" applyBorder="1" applyAlignment="1">
      <alignment horizontal="left"/>
    </xf>
    <xf numFmtId="0" fontId="10" fillId="10" borderId="75" xfId="0" applyFont="1" applyFill="1" applyBorder="1" applyAlignment="1">
      <alignment horizontal="left"/>
    </xf>
    <xf numFmtId="0" fontId="10" fillId="10" borderId="76" xfId="0" applyFont="1" applyFill="1" applyBorder="1" applyAlignment="1">
      <alignment horizontal="left"/>
    </xf>
    <xf numFmtId="0" fontId="10" fillId="10" borderId="23" xfId="0" applyFont="1" applyFill="1" applyBorder="1" applyAlignment="1">
      <alignment horizontal="center" vertical="center"/>
    </xf>
    <xf numFmtId="0" fontId="10" fillId="10" borderId="23" xfId="0" applyNumberFormat="1" applyFont="1" applyFill="1" applyBorder="1" applyAlignment="1">
      <alignment horizontal="center" vertical="center"/>
    </xf>
    <xf numFmtId="0" fontId="9" fillId="10" borderId="23" xfId="0" applyFont="1" applyFill="1" applyBorder="1" applyAlignment="1">
      <alignment horizontal="center"/>
    </xf>
    <xf numFmtId="0" fontId="0" fillId="10" borderId="23" xfId="0" applyFill="1" applyBorder="1" applyAlignment="1">
      <alignment horizontal="left"/>
    </xf>
    <xf numFmtId="0" fontId="0" fillId="0" borderId="0" xfId="0" applyBorder="1"/>
    <xf numFmtId="0" fontId="34" fillId="8" borderId="73" xfId="0" applyFont="1" applyFill="1" applyBorder="1" applyAlignment="1">
      <alignment horizontal="center" vertical="center"/>
    </xf>
    <xf numFmtId="0" fontId="34" fillId="8" borderId="74" xfId="0" applyFont="1" applyFill="1" applyBorder="1" applyAlignment="1">
      <alignment horizontal="left"/>
    </xf>
    <xf numFmtId="0" fontId="34" fillId="8" borderId="75" xfId="0" applyFont="1" applyFill="1" applyBorder="1" applyAlignment="1">
      <alignment horizontal="left"/>
    </xf>
    <xf numFmtId="0" fontId="34" fillId="8" borderId="76" xfId="0" applyFont="1" applyFill="1" applyBorder="1" applyAlignment="1">
      <alignment horizontal="left"/>
    </xf>
    <xf numFmtId="0" fontId="34" fillId="8" borderId="23" xfId="0" applyFont="1" applyFill="1" applyBorder="1" applyAlignment="1">
      <alignment horizontal="center"/>
    </xf>
    <xf numFmtId="0" fontId="34" fillId="8" borderId="23" xfId="0" applyFont="1" applyFill="1" applyBorder="1" applyAlignment="1">
      <alignment horizontal="center" vertical="center"/>
    </xf>
    <xf numFmtId="0" fontId="35" fillId="8" borderId="23" xfId="0" applyFont="1" applyFill="1" applyBorder="1" applyAlignment="1">
      <alignment horizontal="center"/>
    </xf>
    <xf numFmtId="0" fontId="36" fillId="8" borderId="23" xfId="0" applyFont="1" applyFill="1" applyBorder="1" applyAlignment="1">
      <alignment horizontal="left"/>
    </xf>
    <xf numFmtId="0" fontId="5" fillId="0" borderId="0" xfId="0" applyFont="1" applyBorder="1" applyAlignment="1">
      <alignment vertical="center"/>
    </xf>
    <xf numFmtId="0" fontId="34" fillId="3" borderId="73" xfId="0" applyFont="1" applyFill="1" applyBorder="1" applyAlignment="1">
      <alignment horizontal="center" vertical="center"/>
    </xf>
    <xf numFmtId="0" fontId="34" fillId="3" borderId="74" xfId="0" applyFont="1" applyFill="1" applyBorder="1" applyAlignment="1">
      <alignment horizontal="left"/>
    </xf>
    <xf numFmtId="0" fontId="34" fillId="3" borderId="75" xfId="0" applyFont="1" applyFill="1" applyBorder="1" applyAlignment="1">
      <alignment horizontal="left"/>
    </xf>
    <xf numFmtId="0" fontId="34" fillId="3" borderId="76" xfId="0" applyFont="1" applyFill="1" applyBorder="1" applyAlignment="1">
      <alignment horizontal="left"/>
    </xf>
    <xf numFmtId="0" fontId="34" fillId="3" borderId="23" xfId="0" applyFont="1" applyFill="1" applyBorder="1" applyAlignment="1">
      <alignment horizontal="center" vertical="center"/>
    </xf>
    <xf numFmtId="0" fontId="34" fillId="3" borderId="23" xfId="0" applyFont="1" applyFill="1" applyBorder="1" applyAlignment="1">
      <alignment horizontal="center"/>
    </xf>
    <xf numFmtId="0" fontId="37" fillId="3" borderId="23" xfId="0" applyFont="1" applyFill="1" applyBorder="1" applyAlignment="1">
      <alignment horizontal="center"/>
    </xf>
    <xf numFmtId="0" fontId="34" fillId="7" borderId="73" xfId="0" applyFont="1" applyFill="1" applyBorder="1" applyAlignment="1">
      <alignment horizontal="center" vertical="center"/>
    </xf>
    <xf numFmtId="0" fontId="34" fillId="7" borderId="74" xfId="0" applyFont="1" applyFill="1" applyBorder="1" applyAlignment="1">
      <alignment horizontal="left"/>
    </xf>
    <xf numFmtId="0" fontId="34" fillId="7" borderId="75" xfId="0" applyFont="1" applyFill="1" applyBorder="1" applyAlignment="1">
      <alignment horizontal="left"/>
    </xf>
    <xf numFmtId="0" fontId="34" fillId="7" borderId="76" xfId="0" applyFont="1" applyFill="1" applyBorder="1" applyAlignment="1">
      <alignment horizontal="left"/>
    </xf>
    <xf numFmtId="0" fontId="34" fillId="7" borderId="23" xfId="0" applyFont="1" applyFill="1" applyBorder="1" applyAlignment="1">
      <alignment horizontal="center" vertical="center"/>
    </xf>
    <xf numFmtId="0" fontId="35" fillId="7" borderId="23" xfId="0" applyFont="1" applyFill="1" applyBorder="1" applyAlignment="1">
      <alignment horizontal="center"/>
    </xf>
    <xf numFmtId="17" fontId="37" fillId="7" borderId="23" xfId="0" applyNumberFormat="1" applyFont="1" applyFill="1" applyBorder="1" applyAlignment="1">
      <alignment horizontal="left"/>
    </xf>
    <xf numFmtId="0" fontId="10" fillId="10" borderId="23" xfId="0" applyFont="1" applyFill="1" applyBorder="1" applyAlignment="1">
      <alignment horizontal="center"/>
    </xf>
    <xf numFmtId="0" fontId="38" fillId="10" borderId="23" xfId="0" applyFont="1" applyFill="1" applyBorder="1" applyAlignment="1">
      <alignment horizontal="left"/>
    </xf>
    <xf numFmtId="0" fontId="39" fillId="8" borderId="23" xfId="0" applyFont="1" applyFill="1" applyBorder="1" applyAlignment="1">
      <alignment horizontal="center"/>
    </xf>
    <xf numFmtId="0" fontId="10" fillId="9" borderId="73" xfId="0" applyFont="1" applyFill="1" applyBorder="1" applyAlignment="1">
      <alignment horizontal="center" vertical="center"/>
    </xf>
    <xf numFmtId="0" fontId="10" fillId="9" borderId="74" xfId="0" applyFont="1" applyFill="1" applyBorder="1" applyAlignment="1">
      <alignment horizontal="left"/>
    </xf>
    <xf numFmtId="0" fontId="10" fillId="9" borderId="75" xfId="0" applyFont="1" applyFill="1" applyBorder="1" applyAlignment="1">
      <alignment horizontal="left"/>
    </xf>
    <xf numFmtId="0" fontId="10" fillId="9" borderId="76" xfId="0" applyFont="1" applyFill="1" applyBorder="1" applyAlignment="1">
      <alignment horizontal="left"/>
    </xf>
    <xf numFmtId="0" fontId="10" fillId="9" borderId="23" xfId="0" applyFont="1" applyFill="1" applyBorder="1" applyAlignment="1">
      <alignment horizontal="center"/>
    </xf>
    <xf numFmtId="0" fontId="10" fillId="9" borderId="23" xfId="0" applyFont="1" applyFill="1" applyBorder="1" applyAlignment="1">
      <alignment horizontal="center" vertical="center"/>
    </xf>
    <xf numFmtId="0" fontId="32" fillId="9" borderId="23" xfId="0" applyFont="1" applyFill="1" applyBorder="1" applyAlignment="1">
      <alignment horizontal="center"/>
    </xf>
    <xf numFmtId="0" fontId="40" fillId="9" borderId="23" xfId="0" applyFont="1" applyFill="1" applyBorder="1" applyAlignment="1">
      <alignment horizontal="center"/>
    </xf>
    <xf numFmtId="0" fontId="38" fillId="9" borderId="23" xfId="0" applyFont="1" applyFill="1" applyBorder="1" applyAlignment="1">
      <alignment horizontal="left"/>
    </xf>
    <xf numFmtId="0" fontId="8" fillId="0" borderId="63" xfId="0" applyFont="1" applyBorder="1" applyAlignment="1">
      <alignment horizontal="center"/>
    </xf>
    <xf numFmtId="0" fontId="9" fillId="0" borderId="77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38" fillId="0" borderId="13" xfId="0" applyFont="1" applyBorder="1" applyAlignment="1">
      <alignment horizontal="left"/>
    </xf>
    <xf numFmtId="0" fontId="0" fillId="0" borderId="58" xfId="0" applyBorder="1"/>
    <xf numFmtId="0" fontId="0" fillId="0" borderId="61" xfId="0" applyBorder="1"/>
    <xf numFmtId="0" fontId="10" fillId="0" borderId="0" xfId="0" applyFont="1"/>
    <xf numFmtId="0" fontId="34" fillId="0" borderId="0" xfId="0" applyFont="1"/>
    <xf numFmtId="0" fontId="12" fillId="9" borderId="17" xfId="0" applyFont="1" applyFill="1" applyBorder="1" applyAlignment="1">
      <alignment horizontal="center" vertical="center" wrapText="1"/>
    </xf>
    <xf numFmtId="0" fontId="14" fillId="7" borderId="18" xfId="0" applyFont="1" applyFill="1" applyBorder="1" applyAlignment="1">
      <alignment horizontal="center" vertical="center"/>
    </xf>
    <xf numFmtId="0" fontId="12" fillId="7" borderId="18" xfId="0" applyFont="1" applyFill="1" applyBorder="1" applyAlignment="1">
      <alignment horizontal="center" vertical="center" wrapText="1"/>
    </xf>
    <xf numFmtId="0" fontId="15" fillId="2" borderId="21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/>
    </xf>
    <xf numFmtId="0" fontId="12" fillId="3" borderId="27" xfId="0" applyFont="1" applyFill="1" applyBorder="1" applyAlignment="1">
      <alignment horizontal="center" vertical="center" wrapText="1"/>
    </xf>
    <xf numFmtId="0" fontId="12" fillId="3" borderId="28" xfId="0" applyFont="1" applyFill="1" applyBorder="1" applyAlignment="1">
      <alignment horizontal="center" vertical="center" wrapText="1"/>
    </xf>
    <xf numFmtId="0" fontId="14" fillId="3" borderId="29" xfId="0" applyFont="1" applyFill="1" applyBorder="1" applyAlignment="1">
      <alignment horizontal="center" vertical="center" wrapText="1"/>
    </xf>
    <xf numFmtId="0" fontId="12" fillId="11" borderId="28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20" fillId="4" borderId="28" xfId="0" applyFont="1" applyFill="1" applyBorder="1" applyAlignment="1">
      <alignment horizontal="center" vertical="center" wrapText="1"/>
    </xf>
    <xf numFmtId="0" fontId="15" fillId="4" borderId="28" xfId="0" applyFont="1" applyFill="1" applyBorder="1" applyAlignment="1">
      <alignment horizontal="center" vertical="center" wrapText="1"/>
    </xf>
    <xf numFmtId="0" fontId="15" fillId="4" borderId="29" xfId="0" applyFont="1" applyFill="1" applyBorder="1" applyAlignment="1">
      <alignment horizontal="center" vertical="center" wrapText="1"/>
    </xf>
    <xf numFmtId="0" fontId="15" fillId="4" borderId="30" xfId="0" applyFont="1" applyFill="1" applyBorder="1" applyAlignment="1">
      <alignment horizontal="center" vertical="center" wrapText="1"/>
    </xf>
    <xf numFmtId="0" fontId="20" fillId="2" borderId="30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/>
    </xf>
    <xf numFmtId="0" fontId="12" fillId="10" borderId="33" xfId="0" applyFont="1" applyFill="1" applyBorder="1" applyAlignment="1">
      <alignment horizontal="center" vertical="center" wrapText="1"/>
    </xf>
    <xf numFmtId="0" fontId="12" fillId="10" borderId="23" xfId="0" applyFont="1" applyFill="1" applyBorder="1" applyAlignment="1">
      <alignment horizontal="center" vertical="center" wrapText="1"/>
    </xf>
    <xf numFmtId="0" fontId="12" fillId="10" borderId="24" xfId="0" applyFont="1" applyFill="1" applyBorder="1" applyAlignment="1">
      <alignment horizontal="center" vertical="center" wrapText="1"/>
    </xf>
    <xf numFmtId="0" fontId="12" fillId="10" borderId="17" xfId="0" applyFont="1" applyFill="1" applyBorder="1" applyAlignment="1">
      <alignment horizontal="center" vertical="center" wrapText="1"/>
    </xf>
    <xf numFmtId="0" fontId="12" fillId="10" borderId="18" xfId="0" applyFont="1" applyFill="1" applyBorder="1" applyAlignment="1">
      <alignment horizontal="center" vertical="center" wrapText="1"/>
    </xf>
    <xf numFmtId="0" fontId="15" fillId="10" borderId="18" xfId="0" applyFont="1" applyFill="1" applyBorder="1" applyAlignment="1">
      <alignment horizontal="center" vertical="center"/>
    </xf>
    <xf numFmtId="0" fontId="15" fillId="10" borderId="18" xfId="0" applyFont="1" applyFill="1" applyBorder="1" applyAlignment="1">
      <alignment horizontal="center" vertical="center" wrapText="1"/>
    </xf>
    <xf numFmtId="0" fontId="15" fillId="10" borderId="19" xfId="0" applyFont="1" applyFill="1" applyBorder="1" applyAlignment="1">
      <alignment horizontal="center" vertical="center" wrapText="1"/>
    </xf>
    <xf numFmtId="0" fontId="14" fillId="8" borderId="21" xfId="0" applyFont="1" applyFill="1" applyBorder="1" applyAlignment="1">
      <alignment horizontal="center" vertical="center" wrapText="1"/>
    </xf>
    <xf numFmtId="0" fontId="15" fillId="8" borderId="18" xfId="0" applyFont="1" applyFill="1" applyBorder="1" applyAlignment="1">
      <alignment horizontal="center" vertical="center" wrapText="1"/>
    </xf>
    <xf numFmtId="0" fontId="15" fillId="8" borderId="19" xfId="0" applyFont="1" applyFill="1" applyBorder="1" applyAlignment="1">
      <alignment horizontal="center" vertical="center" wrapText="1"/>
    </xf>
    <xf numFmtId="0" fontId="20" fillId="8" borderId="17" xfId="0" applyFont="1" applyFill="1" applyBorder="1" applyAlignment="1">
      <alignment horizontal="center" vertical="center" wrapText="1"/>
    </xf>
    <xf numFmtId="0" fontId="15" fillId="2" borderId="35" xfId="0" applyFont="1" applyFill="1" applyBorder="1" applyAlignment="1">
      <alignment horizontal="center" vertical="center" wrapText="1"/>
    </xf>
    <xf numFmtId="0" fontId="22" fillId="6" borderId="36" xfId="0" applyFont="1" applyFill="1" applyBorder="1" applyAlignment="1">
      <alignment horizontal="center" vertical="center" wrapText="1"/>
    </xf>
    <xf numFmtId="0" fontId="15" fillId="6" borderId="28" xfId="0" applyFont="1" applyFill="1" applyBorder="1" applyAlignment="1">
      <alignment horizontal="center" vertical="center" wrapText="1"/>
    </xf>
    <xf numFmtId="0" fontId="15" fillId="6" borderId="37" xfId="0" applyFont="1" applyFill="1" applyBorder="1" applyAlignment="1">
      <alignment horizontal="center" vertical="center" wrapText="1"/>
    </xf>
    <xf numFmtId="0" fontId="12" fillId="6" borderId="37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40" xfId="0" applyFont="1" applyFill="1" applyBorder="1" applyAlignment="1">
      <alignment horizontal="center" vertical="center" wrapText="1"/>
    </xf>
    <xf numFmtId="0" fontId="12" fillId="6" borderId="41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" fillId="9" borderId="43" xfId="0" applyFont="1" applyFill="1" applyBorder="1" applyAlignment="1">
      <alignment horizontal="center" vertical="center" wrapText="1"/>
    </xf>
    <xf numFmtId="49" fontId="12" fillId="7" borderId="18" xfId="0" applyNumberFormat="1" applyFont="1" applyFill="1" applyBorder="1" applyAlignment="1">
      <alignment horizontal="center" vertical="center"/>
    </xf>
    <xf numFmtId="0" fontId="22" fillId="2" borderId="44" xfId="0" applyFont="1" applyFill="1" applyBorder="1" applyAlignment="1">
      <alignment horizontal="center" vertical="center" wrapText="1"/>
    </xf>
    <xf numFmtId="0" fontId="20" fillId="2" borderId="18" xfId="0" applyFont="1" applyFill="1" applyBorder="1" applyAlignment="1">
      <alignment horizontal="center" vertical="center" wrapText="1"/>
    </xf>
    <xf numFmtId="0" fontId="20" fillId="7" borderId="21" xfId="0" applyFont="1" applyFill="1" applyBorder="1" applyAlignment="1">
      <alignment horizontal="center" vertical="center" wrapText="1"/>
    </xf>
    <xf numFmtId="0" fontId="26" fillId="2" borderId="0" xfId="0" applyFont="1" applyFill="1"/>
    <xf numFmtId="0" fontId="12" fillId="3" borderId="36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4" borderId="43" xfId="0" applyFont="1" applyFill="1" applyBorder="1" applyAlignment="1">
      <alignment horizontal="center" vertical="center" wrapText="1"/>
    </xf>
    <xf numFmtId="0" fontId="12" fillId="4" borderId="37" xfId="0" applyFont="1" applyFill="1" applyBorder="1" applyAlignment="1">
      <alignment horizontal="center" vertical="center" wrapText="1"/>
    </xf>
    <xf numFmtId="0" fontId="15" fillId="4" borderId="37" xfId="0" applyFont="1" applyFill="1" applyBorder="1" applyAlignment="1">
      <alignment horizontal="center" vertical="center" wrapText="1"/>
    </xf>
    <xf numFmtId="49" fontId="15" fillId="4" borderId="37" xfId="0" applyNumberFormat="1" applyFont="1" applyFill="1" applyBorder="1" applyAlignment="1">
      <alignment horizontal="center" vertical="center"/>
    </xf>
    <xf numFmtId="0" fontId="15" fillId="4" borderId="39" xfId="0" applyFont="1" applyFill="1" applyBorder="1" applyAlignment="1">
      <alignment horizontal="center" vertical="center" wrapText="1"/>
    </xf>
    <xf numFmtId="0" fontId="15" fillId="4" borderId="40" xfId="0" applyFont="1" applyFill="1" applyBorder="1" applyAlignment="1">
      <alignment horizontal="center" vertical="center" wrapText="1"/>
    </xf>
    <xf numFmtId="0" fontId="20" fillId="2" borderId="40" xfId="0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/>
    </xf>
    <xf numFmtId="0" fontId="22" fillId="10" borderId="33" xfId="0" applyFont="1" applyFill="1" applyBorder="1" applyAlignment="1">
      <alignment horizontal="center" vertical="center" wrapText="1"/>
    </xf>
    <xf numFmtId="0" fontId="12" fillId="10" borderId="35" xfId="0" applyFont="1" applyFill="1" applyBorder="1" applyAlignment="1">
      <alignment horizontal="center" vertical="center" wrapText="1"/>
    </xf>
    <xf numFmtId="0" fontId="15" fillId="10" borderId="35" xfId="0" applyFont="1" applyFill="1" applyBorder="1" applyAlignment="1">
      <alignment horizontal="center" vertical="center" wrapText="1"/>
    </xf>
    <xf numFmtId="0" fontId="16" fillId="8" borderId="44" xfId="0" applyFont="1" applyFill="1" applyBorder="1" applyAlignment="1">
      <alignment horizontal="center" vertical="center" wrapText="1"/>
    </xf>
    <xf numFmtId="0" fontId="15" fillId="8" borderId="35" xfId="0" applyFont="1" applyFill="1" applyBorder="1" applyAlignment="1">
      <alignment horizontal="center" vertical="center" wrapText="1"/>
    </xf>
    <xf numFmtId="0" fontId="15" fillId="8" borderId="47" xfId="0" applyFont="1" applyFill="1" applyBorder="1" applyAlignment="1">
      <alignment horizontal="center" vertical="center" wrapText="1"/>
    </xf>
    <xf numFmtId="0" fontId="15" fillId="8" borderId="44" xfId="0" applyFont="1" applyFill="1" applyBorder="1" applyAlignment="1">
      <alignment horizontal="center" vertical="center" wrapText="1"/>
    </xf>
    <xf numFmtId="0" fontId="20" fillId="2" borderId="43" xfId="0" applyFont="1" applyFill="1" applyBorder="1" applyAlignment="1">
      <alignment horizontal="center" vertical="center" wrapText="1"/>
    </xf>
    <xf numFmtId="0" fontId="22" fillId="6" borderId="35" xfId="0" applyFont="1" applyFill="1" applyBorder="1" applyAlignment="1">
      <alignment horizontal="center" vertical="center" wrapText="1"/>
    </xf>
    <xf numFmtId="0" fontId="22" fillId="6" borderId="30" xfId="0" applyFont="1" applyFill="1" applyBorder="1" applyAlignment="1">
      <alignment horizontal="center" vertical="center" wrapText="1"/>
    </xf>
    <xf numFmtId="0" fontId="22" fillId="6" borderId="28" xfId="0" applyFont="1" applyFill="1" applyBorder="1" applyAlignment="1">
      <alignment horizontal="center" vertical="center" wrapText="1"/>
    </xf>
    <xf numFmtId="0" fontId="22" fillId="2" borderId="23" xfId="0" applyFont="1" applyFill="1" applyBorder="1" applyAlignment="1">
      <alignment horizontal="center" vertical="center" wrapText="1"/>
    </xf>
    <xf numFmtId="0" fontId="12" fillId="6" borderId="49" xfId="0" applyFont="1" applyFill="1" applyBorder="1" applyAlignment="1">
      <alignment horizontal="center" vertical="center" wrapText="1"/>
    </xf>
    <xf numFmtId="0" fontId="12" fillId="6" borderId="30" xfId="0" applyFont="1" applyFill="1" applyBorder="1" applyAlignment="1">
      <alignment horizontal="center" vertical="center" wrapText="1"/>
    </xf>
    <xf numFmtId="0" fontId="22" fillId="2" borderId="30" xfId="0" applyFont="1" applyFill="1" applyBorder="1" applyAlignment="1">
      <alignment horizontal="center" vertical="center" wrapText="1"/>
    </xf>
    <xf numFmtId="0" fontId="12" fillId="11" borderId="17" xfId="0" applyFont="1" applyFill="1" applyBorder="1" applyAlignment="1">
      <alignment horizontal="center" vertical="center" wrapText="1"/>
    </xf>
    <xf numFmtId="0" fontId="12" fillId="7" borderId="35" xfId="0" applyFont="1" applyFill="1" applyBorder="1" applyAlignment="1">
      <alignment horizontal="center" vertical="center" wrapText="1"/>
    </xf>
    <xf numFmtId="0" fontId="12" fillId="7" borderId="50" xfId="0" applyFont="1" applyFill="1" applyBorder="1" applyAlignment="1">
      <alignment horizontal="center" vertical="center" wrapText="1"/>
    </xf>
    <xf numFmtId="0" fontId="15" fillId="2" borderId="44" xfId="0" applyFont="1" applyFill="1" applyBorder="1" applyAlignment="1">
      <alignment horizontal="center" vertical="center" wrapText="1"/>
    </xf>
    <xf numFmtId="0" fontId="15" fillId="2" borderId="43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4" fillId="3" borderId="38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20" fillId="4" borderId="13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 wrapText="1"/>
    </xf>
    <xf numFmtId="0" fontId="15" fillId="4" borderId="53" xfId="0" applyFont="1" applyFill="1" applyBorder="1" applyAlignment="1">
      <alignment horizontal="center" vertical="center" wrapText="1"/>
    </xf>
    <xf numFmtId="0" fontId="15" fillId="11" borderId="13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41" fillId="8" borderId="23" xfId="0" applyFont="1" applyFill="1" applyBorder="1" applyAlignment="1">
      <alignment horizontal="center"/>
    </xf>
    <xf numFmtId="0" fontId="19" fillId="12" borderId="17" xfId="0" applyFont="1" applyFill="1" applyBorder="1" applyAlignment="1">
      <alignment horizontal="center" vertical="center" wrapText="1"/>
    </xf>
    <xf numFmtId="0" fontId="19" fillId="12" borderId="18" xfId="0" applyFont="1" applyFill="1" applyBorder="1" applyAlignment="1">
      <alignment horizontal="center" vertical="center" wrapText="1"/>
    </xf>
    <xf numFmtId="0" fontId="19" fillId="13" borderId="19" xfId="0" applyFont="1" applyFill="1" applyBorder="1" applyAlignment="1">
      <alignment horizontal="center" vertical="center" wrapText="1"/>
    </xf>
    <xf numFmtId="0" fontId="19" fillId="13" borderId="17" xfId="0" applyFont="1" applyFill="1" applyBorder="1" applyAlignment="1">
      <alignment horizontal="center" vertical="center" wrapText="1"/>
    </xf>
    <xf numFmtId="0" fontId="21" fillId="13" borderId="18" xfId="0" applyFont="1" applyFill="1" applyBorder="1" applyAlignment="1">
      <alignment horizontal="center" vertical="center" wrapText="1"/>
    </xf>
    <xf numFmtId="0" fontId="19" fillId="14" borderId="18" xfId="0" applyFont="1" applyFill="1" applyBorder="1" applyAlignment="1">
      <alignment horizontal="center" vertical="center" wrapText="1"/>
    </xf>
    <xf numFmtId="0" fontId="19" fillId="14" borderId="19" xfId="0" applyFont="1" applyFill="1" applyBorder="1" applyAlignment="1">
      <alignment horizontal="center" vertical="center" wrapText="1"/>
    </xf>
    <xf numFmtId="0" fontId="1" fillId="14" borderId="18" xfId="0" applyFont="1" applyFill="1" applyBorder="1" applyAlignment="1">
      <alignment horizontal="center" vertical="center"/>
    </xf>
    <xf numFmtId="0" fontId="42" fillId="15" borderId="21" xfId="0" applyFont="1" applyFill="1" applyBorder="1" applyAlignment="1">
      <alignment horizontal="center" vertical="center" wrapText="1"/>
    </xf>
    <xf numFmtId="0" fontId="42" fillId="15" borderId="18" xfId="0" applyFont="1" applyFill="1" applyBorder="1" applyAlignment="1">
      <alignment horizontal="center" vertical="center" wrapText="1"/>
    </xf>
    <xf numFmtId="0" fontId="43" fillId="15" borderId="19" xfId="0" applyFont="1" applyFill="1" applyBorder="1" applyAlignment="1">
      <alignment horizontal="center" vertical="center" wrapText="1"/>
    </xf>
    <xf numFmtId="0" fontId="42" fillId="16" borderId="18" xfId="0" applyFont="1" applyFill="1" applyBorder="1" applyAlignment="1">
      <alignment horizontal="center" vertical="center" wrapText="1"/>
    </xf>
    <xf numFmtId="0" fontId="42" fillId="16" borderId="18" xfId="0" applyFont="1" applyFill="1" applyBorder="1" applyAlignment="1">
      <alignment horizontal="center" vertical="center"/>
    </xf>
    <xf numFmtId="0" fontId="19" fillId="10" borderId="27" xfId="0" applyFont="1" applyFill="1" applyBorder="1" applyAlignment="1">
      <alignment horizontal="center" vertical="center" wrapText="1"/>
    </xf>
    <xf numFmtId="0" fontId="19" fillId="10" borderId="28" xfId="0" applyFont="1" applyFill="1" applyBorder="1" applyAlignment="1">
      <alignment horizontal="center" vertical="center" wrapText="1"/>
    </xf>
    <xf numFmtId="0" fontId="1" fillId="10" borderId="29" xfId="0" applyFont="1" applyFill="1" applyBorder="1" applyAlignment="1">
      <alignment horizontal="center" vertical="center" wrapText="1"/>
    </xf>
    <xf numFmtId="0" fontId="19" fillId="7" borderId="27" xfId="0" applyFont="1" applyFill="1" applyBorder="1" applyAlignment="1">
      <alignment horizontal="center" vertical="center" wrapText="1"/>
    </xf>
    <xf numFmtId="0" fontId="19" fillId="7" borderId="28" xfId="0" applyFont="1" applyFill="1" applyBorder="1" applyAlignment="1">
      <alignment horizontal="center" vertical="center" wrapText="1"/>
    </xf>
    <xf numFmtId="0" fontId="44" fillId="7" borderId="40" xfId="0" applyFont="1" applyFill="1" applyBorder="1" applyAlignment="1">
      <alignment horizontal="center" vertical="center" wrapText="1"/>
    </xf>
    <xf numFmtId="0" fontId="43" fillId="8" borderId="28" xfId="0" applyFont="1" applyFill="1" applyBorder="1" applyAlignment="1">
      <alignment horizontal="center" vertical="center" wrapText="1"/>
    </xf>
    <xf numFmtId="0" fontId="42" fillId="8" borderId="28" xfId="0" applyFont="1" applyFill="1" applyBorder="1" applyAlignment="1">
      <alignment horizontal="center" vertical="center" wrapText="1"/>
    </xf>
    <xf numFmtId="0" fontId="42" fillId="8" borderId="29" xfId="0" applyFont="1" applyFill="1" applyBorder="1" applyAlignment="1">
      <alignment horizontal="center" vertical="center" wrapText="1"/>
    </xf>
    <xf numFmtId="0" fontId="42" fillId="15" borderId="30" xfId="0" applyFont="1" applyFill="1" applyBorder="1" applyAlignment="1">
      <alignment horizontal="center" vertical="center" wrapText="1"/>
    </xf>
    <xf numFmtId="0" fontId="42" fillId="15" borderId="28" xfId="0" applyFont="1" applyFill="1" applyBorder="1" applyAlignment="1">
      <alignment horizontal="center" vertical="center" wrapText="1"/>
    </xf>
    <xf numFmtId="0" fontId="42" fillId="15" borderId="29" xfId="0" applyFont="1" applyFill="1" applyBorder="1" applyAlignment="1">
      <alignment horizontal="center" vertical="center" wrapText="1"/>
    </xf>
    <xf numFmtId="0" fontId="43" fillId="15" borderId="30" xfId="0" applyFont="1" applyFill="1" applyBorder="1" applyAlignment="1">
      <alignment horizontal="center" vertical="center" wrapText="1"/>
    </xf>
    <xf numFmtId="0" fontId="19" fillId="16" borderId="28" xfId="0" applyFont="1" applyFill="1" applyBorder="1" applyAlignment="1">
      <alignment horizontal="center" vertical="center"/>
    </xf>
    <xf numFmtId="0" fontId="19" fillId="16" borderId="28" xfId="0" applyFont="1" applyFill="1" applyBorder="1" applyAlignment="1">
      <alignment horizontal="center" vertical="center" wrapText="1"/>
    </xf>
    <xf numFmtId="0" fontId="19" fillId="6" borderId="33" xfId="0" applyFont="1" applyFill="1" applyBorder="1" applyAlignment="1">
      <alignment horizontal="center" vertical="center" wrapText="1"/>
    </xf>
    <xf numFmtId="0" fontId="19" fillId="6" borderId="23" xfId="0" applyFont="1" applyFill="1" applyBorder="1" applyAlignment="1">
      <alignment horizontal="center" vertical="center" wrapText="1"/>
    </xf>
    <xf numFmtId="0" fontId="19" fillId="6" borderId="24" xfId="0" applyFont="1" applyFill="1" applyBorder="1" applyAlignment="1">
      <alignment horizontal="center" vertical="center" wrapText="1"/>
    </xf>
    <xf numFmtId="0" fontId="19" fillId="6" borderId="17" xfId="0" applyFont="1" applyFill="1" applyBorder="1" applyAlignment="1">
      <alignment horizontal="center" vertical="center" wrapText="1"/>
    </xf>
    <xf numFmtId="0" fontId="19" fillId="3" borderId="18" xfId="0" applyFont="1" applyFill="1" applyBorder="1" applyAlignment="1">
      <alignment horizontal="center" vertical="center" wrapText="1"/>
    </xf>
    <xf numFmtId="0" fontId="19" fillId="3" borderId="19" xfId="0" applyFont="1" applyFill="1" applyBorder="1" applyAlignment="1">
      <alignment horizontal="center" vertical="center" wrapText="1"/>
    </xf>
    <xf numFmtId="0" fontId="42" fillId="3" borderId="18" xfId="0" applyFont="1" applyFill="1" applyBorder="1" applyAlignment="1">
      <alignment horizontal="center" vertical="center"/>
    </xf>
    <xf numFmtId="0" fontId="42" fillId="3" borderId="18" xfId="0" applyFont="1" applyFill="1" applyBorder="1" applyAlignment="1">
      <alignment horizontal="center" vertical="center" wrapText="1"/>
    </xf>
    <xf numFmtId="0" fontId="42" fillId="3" borderId="19" xfId="0" applyFont="1" applyFill="1" applyBorder="1" applyAlignment="1">
      <alignment horizontal="center" vertical="center" wrapText="1"/>
    </xf>
    <xf numFmtId="0" fontId="42" fillId="3" borderId="21" xfId="0" applyFont="1" applyFill="1" applyBorder="1" applyAlignment="1">
      <alignment horizontal="center" vertical="center" wrapText="1"/>
    </xf>
    <xf numFmtId="0" fontId="45" fillId="3" borderId="18" xfId="0" applyFont="1" applyFill="1" applyBorder="1" applyAlignment="1">
      <alignment horizontal="center" vertical="center" wrapText="1"/>
    </xf>
    <xf numFmtId="0" fontId="42" fillId="2" borderId="18" xfId="0" applyFont="1" applyFill="1" applyBorder="1" applyAlignment="1">
      <alignment horizontal="center" vertical="center" wrapText="1"/>
    </xf>
    <xf numFmtId="0" fontId="42" fillId="2" borderId="19" xfId="0" applyFont="1" applyFill="1" applyBorder="1" applyAlignment="1">
      <alignment horizontal="center" vertical="center" wrapText="1"/>
    </xf>
    <xf numFmtId="0" fontId="43" fillId="2" borderId="17" xfId="0" applyFont="1" applyFill="1" applyBorder="1" applyAlignment="1">
      <alignment horizontal="center" vertical="center" wrapText="1"/>
    </xf>
    <xf numFmtId="0" fontId="42" fillId="16" borderId="35" xfId="0" applyFont="1" applyFill="1" applyBorder="1" applyAlignment="1">
      <alignment horizontal="center" vertical="center" wrapText="1"/>
    </xf>
    <xf numFmtId="0" fontId="19" fillId="9" borderId="27" xfId="0" applyFont="1" applyFill="1" applyBorder="1" applyAlignment="1">
      <alignment horizontal="center" vertical="center" wrapText="1"/>
    </xf>
    <xf numFmtId="0" fontId="19" fillId="9" borderId="28" xfId="0" applyFont="1" applyFill="1" applyBorder="1" applyAlignment="1">
      <alignment horizontal="center" vertical="center" wrapText="1"/>
    </xf>
    <xf numFmtId="0" fontId="1" fillId="9" borderId="29" xfId="0" applyFont="1" applyFill="1" applyBorder="1" applyAlignment="1">
      <alignment horizontal="center" vertical="center" wrapText="1"/>
    </xf>
    <xf numFmtId="0" fontId="22" fillId="7" borderId="36" xfId="0" applyFont="1" applyFill="1" applyBorder="1" applyAlignment="1">
      <alignment horizontal="center" vertical="center" wrapText="1"/>
    </xf>
    <xf numFmtId="0" fontId="42" fillId="7" borderId="28" xfId="0" applyFont="1" applyFill="1" applyBorder="1" applyAlignment="1">
      <alignment horizontal="center" vertical="center" wrapText="1"/>
    </xf>
    <xf numFmtId="0" fontId="42" fillId="9" borderId="37" xfId="0" applyFont="1" applyFill="1" applyBorder="1" applyAlignment="1">
      <alignment horizontal="center" vertical="center" wrapText="1"/>
    </xf>
    <xf numFmtId="0" fontId="43" fillId="7" borderId="40" xfId="0" applyFont="1" applyFill="1" applyBorder="1" applyAlignment="1">
      <alignment horizontal="center" vertical="center" wrapText="1"/>
    </xf>
    <xf numFmtId="0" fontId="19" fillId="2" borderId="37" xfId="0" applyFont="1" applyFill="1" applyBorder="1" applyAlignment="1">
      <alignment horizontal="center" vertical="center" wrapText="1"/>
    </xf>
    <xf numFmtId="0" fontId="19" fillId="2" borderId="39" xfId="0" applyFont="1" applyFill="1" applyBorder="1" applyAlignment="1">
      <alignment horizontal="center" vertical="center" wrapText="1"/>
    </xf>
    <xf numFmtId="0" fontId="19" fillId="15" borderId="40" xfId="0" applyFont="1" applyFill="1" applyBorder="1" applyAlignment="1">
      <alignment horizontal="center" vertical="center" wrapText="1"/>
    </xf>
    <xf numFmtId="0" fontId="19" fillId="15" borderId="37" xfId="0" applyFont="1" applyFill="1" applyBorder="1" applyAlignment="1">
      <alignment horizontal="center" vertical="center" wrapText="1"/>
    </xf>
    <xf numFmtId="0" fontId="19" fillId="15" borderId="41" xfId="0" applyFont="1" applyFill="1" applyBorder="1" applyAlignment="1">
      <alignment horizontal="center" vertical="center" wrapText="1"/>
    </xf>
    <xf numFmtId="0" fontId="19" fillId="2" borderId="36" xfId="0" applyFont="1" applyFill="1" applyBorder="1" applyAlignment="1">
      <alignment horizontal="center" vertical="center" wrapText="1"/>
    </xf>
    <xf numFmtId="0" fontId="19" fillId="16" borderId="37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23" xfId="0" applyFont="1" applyFill="1" applyBorder="1" applyAlignment="1">
      <alignment horizontal="center" vertical="center" wrapText="1"/>
    </xf>
    <xf numFmtId="0" fontId="19" fillId="7" borderId="24" xfId="0" applyFont="1" applyFill="1" applyBorder="1" applyAlignment="1">
      <alignment horizontal="center" vertical="center" wrapText="1"/>
    </xf>
    <xf numFmtId="0" fontId="19" fillId="7" borderId="17" xfId="0" applyFont="1" applyFill="1" applyBorder="1" applyAlignment="1">
      <alignment horizontal="center" vertical="center" wrapText="1"/>
    </xf>
    <xf numFmtId="0" fontId="19" fillId="7" borderId="18" xfId="0" applyFont="1" applyFill="1" applyBorder="1" applyAlignment="1">
      <alignment horizontal="center" vertical="center" wrapText="1"/>
    </xf>
    <xf numFmtId="0" fontId="1" fillId="14" borderId="43" xfId="0" applyFont="1" applyFill="1" applyBorder="1" applyAlignment="1">
      <alignment horizontal="center" vertical="center" wrapText="1"/>
    </xf>
    <xf numFmtId="49" fontId="19" fillId="14" borderId="18" xfId="0" applyNumberFormat="1" applyFont="1" applyFill="1" applyBorder="1" applyAlignment="1">
      <alignment horizontal="center" vertical="center"/>
    </xf>
    <xf numFmtId="0" fontId="21" fillId="14" borderId="44" xfId="0" applyFont="1" applyFill="1" applyBorder="1" applyAlignment="1">
      <alignment horizontal="center" vertical="center" wrapText="1"/>
    </xf>
    <xf numFmtId="0" fontId="42" fillId="15" borderId="19" xfId="0" applyFont="1" applyFill="1" applyBorder="1" applyAlignment="1">
      <alignment horizontal="center" vertical="center" wrapText="1"/>
    </xf>
    <xf numFmtId="0" fontId="43" fillId="15" borderId="21" xfId="0" applyFont="1" applyFill="1" applyBorder="1" applyAlignment="1">
      <alignment horizontal="center" vertical="center" wrapText="1"/>
    </xf>
    <xf numFmtId="0" fontId="19" fillId="7" borderId="36" xfId="0" applyFont="1" applyFill="1" applyBorder="1" applyAlignment="1">
      <alignment horizontal="center" vertical="center" wrapText="1"/>
    </xf>
    <xf numFmtId="0" fontId="19" fillId="7" borderId="37" xfId="0" applyFont="1" applyFill="1" applyBorder="1" applyAlignment="1">
      <alignment horizontal="center" vertical="center" wrapText="1"/>
    </xf>
    <xf numFmtId="0" fontId="20" fillId="12" borderId="24" xfId="0" applyFont="1" applyFill="1" applyBorder="1" applyAlignment="1">
      <alignment horizontal="center" vertical="center" wrapText="1"/>
    </xf>
    <xf numFmtId="0" fontId="12" fillId="10" borderId="43" xfId="0" applyFont="1" applyFill="1" applyBorder="1" applyAlignment="1">
      <alignment horizontal="center" vertical="center" wrapText="1"/>
    </xf>
    <xf numFmtId="0" fontId="42" fillId="8" borderId="37" xfId="0" applyFont="1" applyFill="1" applyBorder="1" applyAlignment="1">
      <alignment horizontal="center" vertical="center" wrapText="1"/>
    </xf>
    <xf numFmtId="49" fontId="42" fillId="8" borderId="37" xfId="0" applyNumberFormat="1" applyFont="1" applyFill="1" applyBorder="1" applyAlignment="1">
      <alignment horizontal="center" vertical="center"/>
    </xf>
    <xf numFmtId="0" fontId="42" fillId="8" borderId="39" xfId="0" applyFont="1" applyFill="1" applyBorder="1" applyAlignment="1">
      <alignment horizontal="center" vertical="center" wrapText="1"/>
    </xf>
    <xf numFmtId="0" fontId="42" fillId="15" borderId="40" xfId="0" applyFont="1" applyFill="1" applyBorder="1" applyAlignment="1">
      <alignment horizontal="center" vertical="center" wrapText="1"/>
    </xf>
    <xf numFmtId="0" fontId="42" fillId="15" borderId="37" xfId="0" applyFont="1" applyFill="1" applyBorder="1" applyAlignment="1">
      <alignment horizontal="center" vertical="center" wrapText="1"/>
    </xf>
    <xf numFmtId="0" fontId="42" fillId="15" borderId="41" xfId="0" applyFont="1" applyFill="1" applyBorder="1" applyAlignment="1">
      <alignment horizontal="center" vertical="center" wrapText="1"/>
    </xf>
    <xf numFmtId="0" fontId="43" fillId="15" borderId="40" xfId="0" applyFont="1" applyFill="1" applyBorder="1" applyAlignment="1">
      <alignment horizontal="center" vertical="center" wrapText="1"/>
    </xf>
    <xf numFmtId="0" fontId="19" fillId="16" borderId="37" xfId="0" applyFont="1" applyFill="1" applyBorder="1" applyAlignment="1">
      <alignment horizontal="center" vertical="center"/>
    </xf>
    <xf numFmtId="0" fontId="21" fillId="6" borderId="33" xfId="0" applyFont="1" applyFill="1" applyBorder="1" applyAlignment="1">
      <alignment horizontal="center" vertical="center" wrapText="1"/>
    </xf>
    <xf numFmtId="0" fontId="21" fillId="11" borderId="43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13" fillId="11" borderId="35" xfId="0" applyFont="1" applyFill="1" applyBorder="1" applyAlignment="1">
      <alignment horizontal="center" vertical="center"/>
    </xf>
    <xf numFmtId="0" fontId="42" fillId="3" borderId="35" xfId="0" applyFont="1" applyFill="1" applyBorder="1" applyAlignment="1">
      <alignment horizontal="center" vertical="center" wrapText="1"/>
    </xf>
    <xf numFmtId="0" fontId="42" fillId="3" borderId="44" xfId="0" applyFont="1" applyFill="1" applyBorder="1" applyAlignment="1">
      <alignment horizontal="center" vertical="center" wrapText="1"/>
    </xf>
    <xf numFmtId="0" fontId="20" fillId="3" borderId="47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42" fillId="16" borderId="35" xfId="0" applyFont="1" applyFill="1" applyBorder="1" applyAlignment="1">
      <alignment horizontal="center" vertical="center"/>
    </xf>
    <xf numFmtId="0" fontId="19" fillId="16" borderId="35" xfId="0" applyFont="1" applyFill="1" applyBorder="1" applyAlignment="1">
      <alignment horizontal="center" vertical="center"/>
    </xf>
    <xf numFmtId="0" fontId="21" fillId="9" borderId="30" xfId="0" applyFont="1" applyFill="1" applyBorder="1" applyAlignment="1">
      <alignment horizontal="center" vertical="center" wrapText="1"/>
    </xf>
    <xf numFmtId="0" fontId="22" fillId="9" borderId="28" xfId="0" applyFont="1" applyFill="1" applyBorder="1" applyAlignment="1">
      <alignment horizontal="center" vertical="center" wrapText="1"/>
    </xf>
    <xf numFmtId="0" fontId="16" fillId="9" borderId="28" xfId="0" applyFont="1" applyFill="1" applyBorder="1" applyAlignment="1">
      <alignment horizontal="center" vertical="center" wrapText="1"/>
    </xf>
    <xf numFmtId="0" fontId="42" fillId="11" borderId="28" xfId="0" applyFont="1" applyFill="1" applyBorder="1" applyAlignment="1">
      <alignment horizontal="center" vertical="center" wrapText="1"/>
    </xf>
    <xf numFmtId="0" fontId="19" fillId="11" borderId="28" xfId="0" applyFont="1" applyFill="1" applyBorder="1" applyAlignment="1">
      <alignment horizontal="center" vertical="center" wrapText="1"/>
    </xf>
    <xf numFmtId="0" fontId="19" fillId="11" borderId="49" xfId="0" applyFont="1" applyFill="1" applyBorder="1" applyAlignment="1">
      <alignment horizontal="center" vertical="center" wrapText="1"/>
    </xf>
    <xf numFmtId="0" fontId="19" fillId="11" borderId="41" xfId="0" applyFont="1" applyFill="1" applyBorder="1" applyAlignment="1">
      <alignment horizontal="center" vertical="center" wrapText="1"/>
    </xf>
    <xf numFmtId="0" fontId="19" fillId="11" borderId="30" xfId="0" applyFont="1" applyFill="1" applyBorder="1" applyAlignment="1">
      <alignment horizontal="center" vertical="center" wrapText="1"/>
    </xf>
    <xf numFmtId="0" fontId="21" fillId="11" borderId="29" xfId="0" applyFont="1" applyFill="1" applyBorder="1" applyAlignment="1">
      <alignment horizontal="center" vertical="center" wrapText="1"/>
    </xf>
    <xf numFmtId="0" fontId="22" fillId="16" borderId="28" xfId="0" applyFont="1" applyFill="1" applyBorder="1" applyAlignment="1">
      <alignment horizontal="center" vertical="center" wrapText="1"/>
    </xf>
    <xf numFmtId="0" fontId="21" fillId="16" borderId="28" xfId="0" applyFont="1" applyFill="1" applyBorder="1" applyAlignment="1">
      <alignment horizontal="center" vertical="center" wrapText="1"/>
    </xf>
    <xf numFmtId="0" fontId="19" fillId="7" borderId="23" xfId="0" applyFont="1" applyFill="1" applyBorder="1" applyAlignment="1">
      <alignment horizontal="center" vertical="center" wrapText="1"/>
    </xf>
    <xf numFmtId="0" fontId="43" fillId="12" borderId="24" xfId="0" applyFont="1" applyFill="1" applyBorder="1" applyAlignment="1">
      <alignment horizontal="center" vertical="center" wrapText="1"/>
    </xf>
    <xf numFmtId="0" fontId="19" fillId="7" borderId="43" xfId="0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16" fillId="7" borderId="35" xfId="0" applyFont="1" applyFill="1" applyBorder="1" applyAlignment="1">
      <alignment horizontal="center" vertical="center" wrapText="1"/>
    </xf>
    <xf numFmtId="0" fontId="22" fillId="7" borderId="44" xfId="0" applyFont="1" applyFill="1" applyBorder="1" applyAlignment="1">
      <alignment horizontal="center" vertical="center" wrapText="1"/>
    </xf>
    <xf numFmtId="0" fontId="19" fillId="14" borderId="35" xfId="0" applyFont="1" applyFill="1" applyBorder="1" applyAlignment="1">
      <alignment horizontal="center" vertical="center" wrapText="1"/>
    </xf>
    <xf numFmtId="0" fontId="19" fillId="14" borderId="50" xfId="0" applyFont="1" applyFill="1" applyBorder="1" applyAlignment="1">
      <alignment horizontal="center" vertical="center" wrapText="1"/>
    </xf>
    <xf numFmtId="0" fontId="42" fillId="15" borderId="44" xfId="0" applyFont="1" applyFill="1" applyBorder="1" applyAlignment="1">
      <alignment horizontal="center" vertical="center" wrapText="1"/>
    </xf>
    <xf numFmtId="0" fontId="42" fillId="15" borderId="43" xfId="0" applyFont="1" applyFill="1" applyBorder="1" applyAlignment="1">
      <alignment horizontal="center" vertical="center" wrapText="1"/>
    </xf>
    <xf numFmtId="0" fontId="42" fillId="15" borderId="35" xfId="0" applyFont="1" applyFill="1" applyBorder="1" applyAlignment="1">
      <alignment horizontal="center" vertical="center" wrapText="1"/>
    </xf>
    <xf numFmtId="0" fontId="15" fillId="15" borderId="19" xfId="0" applyFont="1" applyFill="1" applyBorder="1" applyAlignment="1">
      <alignment horizontal="center" vertical="center" wrapText="1"/>
    </xf>
    <xf numFmtId="0" fontId="42" fillId="16" borderId="47" xfId="0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 wrapText="1"/>
    </xf>
    <xf numFmtId="0" fontId="19" fillId="10" borderId="13" xfId="0" applyFont="1" applyFill="1" applyBorder="1" applyAlignment="1">
      <alignment horizontal="center" vertical="center" wrapText="1"/>
    </xf>
    <xf numFmtId="0" fontId="1" fillId="10" borderId="38" xfId="0" applyFont="1" applyFill="1" applyBorder="1" applyAlignment="1">
      <alignment horizontal="center" vertical="center" wrapText="1"/>
    </xf>
    <xf numFmtId="0" fontId="19" fillId="10" borderId="14" xfId="0" applyFont="1" applyFill="1" applyBorder="1" applyAlignment="1">
      <alignment horizontal="center" vertical="center"/>
    </xf>
    <xf numFmtId="0" fontId="19" fillId="7" borderId="12" xfId="0" applyFont="1" applyFill="1" applyBorder="1" applyAlignment="1">
      <alignment horizontal="center" vertical="center" wrapText="1"/>
    </xf>
    <xf numFmtId="0" fontId="19" fillId="7" borderId="13" xfId="0" applyFont="1" applyFill="1" applyBorder="1" applyAlignment="1">
      <alignment horizontal="center" vertical="center" wrapText="1"/>
    </xf>
    <xf numFmtId="0" fontId="46" fillId="10" borderId="13" xfId="0" applyFont="1" applyFill="1" applyBorder="1" applyAlignment="1">
      <alignment horizontal="center" vertical="center" wrapText="1"/>
    </xf>
    <xf numFmtId="0" fontId="42" fillId="8" borderId="13" xfId="0" applyFont="1" applyFill="1" applyBorder="1" applyAlignment="1">
      <alignment horizontal="center" vertical="center" wrapText="1"/>
    </xf>
    <xf numFmtId="0" fontId="42" fillId="8" borderId="14" xfId="0" applyFont="1" applyFill="1" applyBorder="1" applyAlignment="1">
      <alignment horizontal="center" vertical="center"/>
    </xf>
    <xf numFmtId="0" fontId="42" fillId="8" borderId="14" xfId="0" applyFont="1" applyFill="1" applyBorder="1" applyAlignment="1">
      <alignment horizontal="center" vertical="center" wrapText="1"/>
    </xf>
    <xf numFmtId="0" fontId="47" fillId="8" borderId="14" xfId="0" applyFont="1" applyFill="1" applyBorder="1" applyAlignment="1">
      <alignment horizontal="center" vertical="center" wrapText="1"/>
    </xf>
    <xf numFmtId="0" fontId="42" fillId="15" borderId="13" xfId="0" applyFont="1" applyFill="1" applyBorder="1" applyAlignment="1">
      <alignment horizontal="center" vertical="center" wrapText="1"/>
    </xf>
    <xf numFmtId="0" fontId="43" fillId="15" borderId="14" xfId="0" applyFont="1" applyFill="1" applyBorder="1" applyAlignment="1">
      <alignment horizontal="center" vertical="center" wrapText="1"/>
    </xf>
    <xf numFmtId="0" fontId="43" fillId="16" borderId="12" xfId="0" applyFont="1" applyFill="1" applyBorder="1" applyAlignment="1">
      <alignment horizontal="center" vertical="center" wrapText="1"/>
    </xf>
    <xf numFmtId="0" fontId="43" fillId="15" borderId="15" xfId="0" applyFont="1" applyFill="1" applyBorder="1" applyAlignment="1">
      <alignment horizontal="center" vertical="center" wrapText="1"/>
    </xf>
    <xf numFmtId="0" fontId="43" fillId="16" borderId="13" xfId="0" applyFont="1" applyFill="1" applyBorder="1" applyAlignment="1">
      <alignment horizontal="center" vertical="center" wrapText="1"/>
    </xf>
    <xf numFmtId="0" fontId="10" fillId="12" borderId="73" xfId="0" applyFont="1" applyFill="1" applyBorder="1" applyAlignment="1">
      <alignment horizontal="center" vertical="center"/>
    </xf>
    <xf numFmtId="0" fontId="10" fillId="12" borderId="74" xfId="0" applyFont="1" applyFill="1" applyBorder="1" applyAlignment="1">
      <alignment horizontal="left"/>
    </xf>
    <xf numFmtId="0" fontId="10" fillId="12" borderId="75" xfId="0" applyFont="1" applyFill="1" applyBorder="1" applyAlignment="1">
      <alignment horizontal="left"/>
    </xf>
    <xf numFmtId="0" fontId="10" fillId="12" borderId="76" xfId="0" applyFont="1" applyFill="1" applyBorder="1" applyAlignment="1">
      <alignment horizontal="left"/>
    </xf>
    <xf numFmtId="0" fontId="10" fillId="12" borderId="23" xfId="0" applyFont="1" applyFill="1" applyBorder="1" applyAlignment="1">
      <alignment horizontal="center" vertical="center"/>
    </xf>
    <xf numFmtId="0" fontId="9" fillId="12" borderId="23" xfId="0" applyFont="1" applyFill="1" applyBorder="1" applyAlignment="1">
      <alignment horizontal="center"/>
    </xf>
    <xf numFmtId="0" fontId="0" fillId="12" borderId="23" xfId="0" applyFill="1" applyBorder="1" applyAlignment="1">
      <alignment horizontal="left"/>
    </xf>
    <xf numFmtId="0" fontId="10" fillId="13" borderId="73" xfId="0" applyFont="1" applyFill="1" applyBorder="1" applyAlignment="1">
      <alignment horizontal="center" vertical="center"/>
    </xf>
    <xf numFmtId="0" fontId="10" fillId="13" borderId="74" xfId="0" applyFont="1" applyFill="1" applyBorder="1" applyAlignment="1">
      <alignment horizontal="left"/>
    </xf>
    <xf numFmtId="0" fontId="10" fillId="13" borderId="75" xfId="0" applyFont="1" applyFill="1" applyBorder="1" applyAlignment="1">
      <alignment horizontal="left"/>
    </xf>
    <xf numFmtId="0" fontId="10" fillId="13" borderId="76" xfId="0" applyFont="1" applyFill="1" applyBorder="1" applyAlignment="1">
      <alignment horizontal="left"/>
    </xf>
    <xf numFmtId="0" fontId="10" fillId="13" borderId="23" xfId="0" applyFont="1" applyFill="1" applyBorder="1" applyAlignment="1">
      <alignment horizontal="center" vertical="center"/>
    </xf>
    <xf numFmtId="0" fontId="9" fillId="13" borderId="23" xfId="0" applyFont="1" applyFill="1" applyBorder="1" applyAlignment="1">
      <alignment horizontal="center"/>
    </xf>
    <xf numFmtId="0" fontId="0" fillId="13" borderId="23" xfId="0" applyFill="1" applyBorder="1" applyAlignment="1">
      <alignment horizontal="center"/>
    </xf>
    <xf numFmtId="0" fontId="10" fillId="14" borderId="73" xfId="0" applyFont="1" applyFill="1" applyBorder="1" applyAlignment="1">
      <alignment horizontal="center" vertical="center"/>
    </xf>
    <xf numFmtId="0" fontId="10" fillId="14" borderId="74" xfId="0" applyFont="1" applyFill="1" applyBorder="1" applyAlignment="1">
      <alignment horizontal="left"/>
    </xf>
    <xf numFmtId="0" fontId="10" fillId="14" borderId="75" xfId="0" applyFont="1" applyFill="1" applyBorder="1" applyAlignment="1">
      <alignment horizontal="left"/>
    </xf>
    <xf numFmtId="0" fontId="10" fillId="14" borderId="76" xfId="0" applyFont="1" applyFill="1" applyBorder="1" applyAlignment="1">
      <alignment horizontal="left"/>
    </xf>
    <xf numFmtId="0" fontId="10" fillId="14" borderId="23" xfId="0" applyFont="1" applyFill="1" applyBorder="1" applyAlignment="1">
      <alignment horizontal="center" vertical="center"/>
    </xf>
    <xf numFmtId="0" fontId="10" fillId="14" borderId="23" xfId="0" applyNumberFormat="1" applyFont="1" applyFill="1" applyBorder="1" applyAlignment="1">
      <alignment horizontal="center" vertical="center"/>
    </xf>
    <xf numFmtId="0" fontId="9" fillId="14" borderId="23" xfId="0" applyFont="1" applyFill="1" applyBorder="1" applyAlignment="1">
      <alignment horizontal="center"/>
    </xf>
    <xf numFmtId="0" fontId="0" fillId="14" borderId="23" xfId="0" applyFill="1" applyBorder="1" applyAlignment="1">
      <alignment horizontal="left"/>
    </xf>
    <xf numFmtId="0" fontId="10" fillId="16" borderId="73" xfId="0" applyFont="1" applyFill="1" applyBorder="1" applyAlignment="1">
      <alignment horizontal="center" vertical="center"/>
    </xf>
    <xf numFmtId="0" fontId="10" fillId="16" borderId="74" xfId="0" applyFont="1" applyFill="1" applyBorder="1" applyAlignment="1">
      <alignment horizontal="left"/>
    </xf>
    <xf numFmtId="0" fontId="10" fillId="16" borderId="75" xfId="0" applyFont="1" applyFill="1" applyBorder="1" applyAlignment="1">
      <alignment horizontal="left"/>
    </xf>
    <xf numFmtId="0" fontId="10" fillId="16" borderId="76" xfId="0" applyFont="1" applyFill="1" applyBorder="1" applyAlignment="1">
      <alignment horizontal="left"/>
    </xf>
    <xf numFmtId="0" fontId="10" fillId="16" borderId="23" xfId="0" applyFont="1" applyFill="1" applyBorder="1" applyAlignment="1">
      <alignment horizontal="center" vertical="center"/>
    </xf>
    <xf numFmtId="0" fontId="9" fillId="16" borderId="23" xfId="0" applyFont="1" applyFill="1" applyBorder="1" applyAlignment="1">
      <alignment horizontal="center"/>
    </xf>
    <xf numFmtId="0" fontId="0" fillId="16" borderId="23" xfId="0" applyFill="1" applyBorder="1" applyAlignment="1">
      <alignment horizontal="center"/>
    </xf>
    <xf numFmtId="0" fontId="35" fillId="3" borderId="23" xfId="0" applyFont="1" applyFill="1" applyBorder="1" applyAlignment="1">
      <alignment horizontal="center"/>
    </xf>
    <xf numFmtId="0" fontId="10" fillId="15" borderId="73" xfId="0" applyFont="1" applyFill="1" applyBorder="1" applyAlignment="1">
      <alignment horizontal="center" vertical="center"/>
    </xf>
    <xf numFmtId="0" fontId="10" fillId="15" borderId="23" xfId="0" applyFont="1" applyFill="1" applyBorder="1" applyAlignment="1">
      <alignment horizontal="left"/>
    </xf>
    <xf numFmtId="0" fontId="10" fillId="15" borderId="23" xfId="0" applyFont="1" applyFill="1" applyBorder="1" applyAlignment="1">
      <alignment horizontal="center"/>
    </xf>
    <xf numFmtId="0" fontId="10" fillId="15" borderId="23" xfId="0" applyFont="1" applyFill="1" applyBorder="1" applyAlignment="1">
      <alignment horizontal="center" vertical="center"/>
    </xf>
    <xf numFmtId="0" fontId="9" fillId="15" borderId="23" xfId="0" applyFont="1" applyFill="1" applyBorder="1" applyAlignment="1">
      <alignment horizontal="center"/>
    </xf>
    <xf numFmtId="0" fontId="38" fillId="15" borderId="23" xfId="0" applyFont="1" applyFill="1" applyBorder="1" applyAlignment="1">
      <alignment horizontal="left"/>
    </xf>
    <xf numFmtId="0" fontId="10" fillId="9" borderId="23" xfId="0" applyFont="1" applyFill="1" applyBorder="1" applyAlignment="1">
      <alignment horizontal="left"/>
    </xf>
    <xf numFmtId="0" fontId="9" fillId="9" borderId="23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1" fillId="0" borderId="68" xfId="0" applyFont="1" applyBorder="1" applyAlignment="1">
      <alignment wrapText="1"/>
    </xf>
    <xf numFmtId="0" fontId="11" fillId="0" borderId="78" xfId="0" applyFont="1" applyBorder="1" applyAlignment="1">
      <alignment wrapText="1"/>
    </xf>
    <xf numFmtId="0" fontId="11" fillId="0" borderId="64" xfId="0" applyFont="1" applyBorder="1" applyAlignment="1">
      <alignment wrapText="1"/>
    </xf>
    <xf numFmtId="0" fontId="11" fillId="0" borderId="69" xfId="0" applyFont="1" applyBorder="1" applyAlignment="1">
      <alignment wrapText="1"/>
    </xf>
    <xf numFmtId="0" fontId="19" fillId="0" borderId="17" xfId="0" applyFont="1" applyBorder="1" applyAlignment="1">
      <alignment horizontal="center" vertical="center" wrapText="1"/>
    </xf>
    <xf numFmtId="0" fontId="48" fillId="11" borderId="18" xfId="0" applyFont="1" applyFill="1" applyBorder="1" applyAlignment="1">
      <alignment horizontal="center" vertical="center" wrapText="1"/>
    </xf>
    <xf numFmtId="0" fontId="19" fillId="6" borderId="18" xfId="0" applyFont="1" applyFill="1" applyBorder="1" applyAlignment="1">
      <alignment horizontal="center" vertical="center" wrapText="1"/>
    </xf>
    <xf numFmtId="0" fontId="19" fillId="6" borderId="19" xfId="0" applyFont="1" applyFill="1" applyBorder="1" applyAlignment="1">
      <alignment horizontal="center" vertical="center" wrapText="1"/>
    </xf>
    <xf numFmtId="0" fontId="42" fillId="7" borderId="21" xfId="0" applyFont="1" applyFill="1" applyBorder="1" applyAlignment="1">
      <alignment horizontal="center" vertical="center" wrapText="1"/>
    </xf>
    <xf numFmtId="0" fontId="42" fillId="7" borderId="18" xfId="0" applyFont="1" applyFill="1" applyBorder="1" applyAlignment="1">
      <alignment horizontal="center" vertical="center" wrapText="1"/>
    </xf>
    <xf numFmtId="0" fontId="43" fillId="7" borderId="19" xfId="0" applyFont="1" applyFill="1" applyBorder="1" applyAlignment="1">
      <alignment horizontal="center" vertical="center" wrapText="1"/>
    </xf>
    <xf numFmtId="0" fontId="42" fillId="2" borderId="21" xfId="0" applyFont="1" applyFill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13" borderId="28" xfId="0" applyFont="1" applyFill="1" applyBorder="1" applyAlignment="1">
      <alignment horizontal="center" vertical="center" wrapText="1"/>
    </xf>
    <xf numFmtId="0" fontId="1" fillId="13" borderId="29" xfId="0" applyFont="1" applyFill="1" applyBorder="1" applyAlignment="1">
      <alignment horizontal="center" vertical="center" wrapText="1"/>
    </xf>
    <xf numFmtId="0" fontId="19" fillId="6" borderId="27" xfId="0" applyFont="1" applyFill="1" applyBorder="1" applyAlignment="1">
      <alignment horizontal="center" vertical="center" wrapText="1"/>
    </xf>
    <xf numFmtId="0" fontId="19" fillId="6" borderId="28" xfId="0" applyFont="1" applyFill="1" applyBorder="1" applyAlignment="1">
      <alignment horizontal="center" vertical="center" wrapText="1"/>
    </xf>
    <xf numFmtId="0" fontId="19" fillId="17" borderId="28" xfId="0" applyFont="1" applyFill="1" applyBorder="1" applyAlignment="1">
      <alignment horizontal="center" vertical="center" wrapText="1"/>
    </xf>
    <xf numFmtId="0" fontId="1" fillId="17" borderId="29" xfId="0" applyFont="1" applyFill="1" applyBorder="1" applyAlignment="1">
      <alignment horizontal="center" vertical="center" wrapText="1"/>
    </xf>
    <xf numFmtId="0" fontId="43" fillId="17" borderId="28" xfId="0" applyFont="1" applyFill="1" applyBorder="1" applyAlignment="1">
      <alignment horizontal="center" vertical="center" wrapText="1"/>
    </xf>
    <xf numFmtId="0" fontId="42" fillId="3" borderId="28" xfId="0" applyFont="1" applyFill="1" applyBorder="1" applyAlignment="1">
      <alignment horizontal="center" vertical="center" wrapText="1"/>
    </xf>
    <xf numFmtId="0" fontId="42" fillId="3" borderId="29" xfId="0" applyFont="1" applyFill="1" applyBorder="1" applyAlignment="1">
      <alignment horizontal="center" vertical="center" wrapText="1"/>
    </xf>
    <xf numFmtId="0" fontId="42" fillId="3" borderId="30" xfId="0" applyFont="1" applyFill="1" applyBorder="1" applyAlignment="1">
      <alignment horizontal="center" vertical="center" wrapText="1"/>
    </xf>
    <xf numFmtId="0" fontId="43" fillId="3" borderId="30" xfId="0" applyFont="1" applyFill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9" fillId="12" borderId="24" xfId="0" applyFont="1" applyFill="1" applyBorder="1" applyAlignment="1">
      <alignment horizontal="center" vertical="center" wrapText="1"/>
    </xf>
    <xf numFmtId="0" fontId="19" fillId="12" borderId="19" xfId="0" applyFont="1" applyFill="1" applyBorder="1" applyAlignment="1">
      <alignment horizontal="center" vertical="center" wrapText="1"/>
    </xf>
    <xf numFmtId="0" fontId="42" fillId="8" borderId="17" xfId="0" applyFont="1" applyFill="1" applyBorder="1" applyAlignment="1">
      <alignment horizontal="center" vertical="center" wrapText="1"/>
    </xf>
    <xf numFmtId="0" fontId="42" fillId="8" borderId="18" xfId="0" applyFont="1" applyFill="1" applyBorder="1" applyAlignment="1">
      <alignment horizontal="center" vertical="center"/>
    </xf>
    <xf numFmtId="0" fontId="42" fillId="8" borderId="18" xfId="0" applyFont="1" applyFill="1" applyBorder="1" applyAlignment="1">
      <alignment horizontal="center" vertical="center" wrapText="1"/>
    </xf>
    <xf numFmtId="0" fontId="42" fillId="8" borderId="19" xfId="0" applyFont="1" applyFill="1" applyBorder="1" applyAlignment="1">
      <alignment horizontal="center" vertical="center" wrapText="1"/>
    </xf>
    <xf numFmtId="0" fontId="42" fillId="8" borderId="21" xfId="0" applyFont="1" applyFill="1" applyBorder="1" applyAlignment="1">
      <alignment horizontal="center" vertical="center" wrapText="1"/>
    </xf>
    <xf numFmtId="0" fontId="45" fillId="8" borderId="18" xfId="0" applyFont="1" applyFill="1" applyBorder="1" applyAlignment="1">
      <alignment horizontal="center" vertical="center" wrapText="1"/>
    </xf>
    <xf numFmtId="0" fontId="22" fillId="13" borderId="36" xfId="0" applyFont="1" applyFill="1" applyBorder="1" applyAlignment="1">
      <alignment horizontal="center" vertical="center" wrapText="1"/>
    </xf>
    <xf numFmtId="0" fontId="19" fillId="18" borderId="40" xfId="0" applyFont="1" applyFill="1" applyBorder="1" applyAlignment="1">
      <alignment horizontal="center" vertical="center" wrapText="1"/>
    </xf>
    <xf numFmtId="0" fontId="19" fillId="18" borderId="37" xfId="0" applyFont="1" applyFill="1" applyBorder="1" applyAlignment="1">
      <alignment horizontal="center" vertical="center" wrapText="1"/>
    </xf>
    <xf numFmtId="0" fontId="19" fillId="18" borderId="39" xfId="0" applyFont="1" applyFill="1" applyBorder="1" applyAlignment="1">
      <alignment horizontal="center" vertical="center" wrapText="1"/>
    </xf>
    <xf numFmtId="0" fontId="19" fillId="2" borderId="41" xfId="0" applyFont="1" applyFill="1" applyBorder="1" applyAlignment="1">
      <alignment horizontal="center" vertical="center" wrapText="1"/>
    </xf>
    <xf numFmtId="0" fontId="43" fillId="8" borderId="21" xfId="0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9" fillId="6" borderId="36" xfId="0" applyFont="1" applyFill="1" applyBorder="1" applyAlignment="1">
      <alignment horizontal="center" vertical="center" wrapText="1"/>
    </xf>
    <xf numFmtId="0" fontId="19" fillId="6" borderId="37" xfId="0" applyFont="1" applyFill="1" applyBorder="1" applyAlignment="1">
      <alignment horizontal="center" vertical="center" wrapText="1"/>
    </xf>
    <xf numFmtId="0" fontId="19" fillId="17" borderId="41" xfId="0" applyFont="1" applyFill="1" applyBorder="1" applyAlignment="1">
      <alignment horizontal="center" vertical="center" wrapText="1"/>
    </xf>
    <xf numFmtId="0" fontId="12" fillId="12" borderId="43" xfId="0" applyFont="1" applyFill="1" applyBorder="1" applyAlignment="1">
      <alignment horizontal="center" vertical="center" wrapText="1"/>
    </xf>
    <xf numFmtId="0" fontId="19" fillId="17" borderId="37" xfId="0" applyFont="1" applyFill="1" applyBorder="1" applyAlignment="1">
      <alignment horizontal="center" vertical="center" wrapText="1"/>
    </xf>
    <xf numFmtId="0" fontId="42" fillId="3" borderId="37" xfId="0" applyFont="1" applyFill="1" applyBorder="1" applyAlignment="1">
      <alignment horizontal="center" vertical="center" wrapText="1"/>
    </xf>
    <xf numFmtId="49" fontId="42" fillId="3" borderId="37" xfId="0" applyNumberFormat="1" applyFont="1" applyFill="1" applyBorder="1" applyAlignment="1">
      <alignment horizontal="center" vertical="center"/>
    </xf>
    <xf numFmtId="0" fontId="42" fillId="3" borderId="39" xfId="0" applyFont="1" applyFill="1" applyBorder="1" applyAlignment="1">
      <alignment horizontal="center" vertical="center" wrapText="1"/>
    </xf>
    <xf numFmtId="0" fontId="42" fillId="3" borderId="40" xfId="0" applyFont="1" applyFill="1" applyBorder="1" applyAlignment="1">
      <alignment horizontal="center" vertical="center" wrapText="1"/>
    </xf>
    <xf numFmtId="0" fontId="42" fillId="3" borderId="41" xfId="0" applyFont="1" applyFill="1" applyBorder="1" applyAlignment="1">
      <alignment horizontal="center" vertical="center" wrapText="1"/>
    </xf>
    <xf numFmtId="0" fontId="43" fillId="2" borderId="40" xfId="0" applyFont="1" applyFill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0" fontId="21" fillId="2" borderId="43" xfId="0" applyFont="1" applyFill="1" applyBorder="1" applyAlignment="1">
      <alignment horizontal="center" vertical="center" wrapText="1"/>
    </xf>
    <xf numFmtId="0" fontId="19" fillId="12" borderId="35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horizontal="center" vertical="center" wrapText="1"/>
    </xf>
    <xf numFmtId="0" fontId="13" fillId="2" borderId="35" xfId="0" applyFont="1" applyFill="1" applyBorder="1" applyAlignment="1">
      <alignment horizontal="center" vertical="center"/>
    </xf>
    <xf numFmtId="0" fontId="42" fillId="8" borderId="35" xfId="0" applyFont="1" applyFill="1" applyBorder="1" applyAlignment="1">
      <alignment horizontal="center" vertical="center" wrapText="1"/>
    </xf>
    <xf numFmtId="0" fontId="42" fillId="8" borderId="44" xfId="0" applyFont="1" applyFill="1" applyBorder="1" applyAlignment="1">
      <alignment horizontal="center" vertical="center" wrapText="1"/>
    </xf>
    <xf numFmtId="0" fontId="42" fillId="8" borderId="47" xfId="0" applyFont="1" applyFill="1" applyBorder="1" applyAlignment="1">
      <alignment horizontal="center" vertical="center" wrapText="1"/>
    </xf>
    <xf numFmtId="0" fontId="42" fillId="2" borderId="44" xfId="0" applyFont="1" applyFill="1" applyBorder="1" applyAlignment="1">
      <alignment horizontal="center" vertical="center" wrapText="1"/>
    </xf>
    <xf numFmtId="0" fontId="21" fillId="10" borderId="30" xfId="0" applyFont="1" applyFill="1" applyBorder="1" applyAlignment="1">
      <alignment horizontal="center" vertical="center" wrapText="1"/>
    </xf>
    <xf numFmtId="0" fontId="22" fillId="11" borderId="28" xfId="0" applyFont="1" applyFill="1" applyBorder="1" applyAlignment="1">
      <alignment horizontal="center" vertical="center" wrapText="1"/>
    </xf>
    <xf numFmtId="0" fontId="42" fillId="8" borderId="49" xfId="0" applyFont="1" applyFill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 vertical="center" textRotation="90" wrapText="1"/>
    </xf>
    <xf numFmtId="0" fontId="19" fillId="18" borderId="28" xfId="0" applyFont="1" applyFill="1" applyBorder="1" applyAlignment="1">
      <alignment horizontal="center" vertical="center" wrapText="1"/>
    </xf>
    <xf numFmtId="0" fontId="19" fillId="18" borderId="49" xfId="0" applyFont="1" applyFill="1" applyBorder="1" applyAlignment="1">
      <alignment horizontal="center" vertical="center" wrapText="1"/>
    </xf>
    <xf numFmtId="0" fontId="19" fillId="18" borderId="41" xfId="0" applyFont="1" applyFill="1" applyBorder="1" applyAlignment="1">
      <alignment horizontal="center" vertical="center" wrapText="1"/>
    </xf>
    <xf numFmtId="0" fontId="19" fillId="18" borderId="30" xfId="0" applyFont="1" applyFill="1" applyBorder="1" applyAlignment="1">
      <alignment horizontal="center" vertical="center" wrapText="1"/>
    </xf>
    <xf numFmtId="0" fontId="21" fillId="18" borderId="29" xfId="0" applyFont="1" applyFill="1" applyBorder="1" applyAlignment="1">
      <alignment horizontal="center" vertical="center" wrapText="1"/>
    </xf>
    <xf numFmtId="0" fontId="19" fillId="6" borderId="43" xfId="0" applyFont="1" applyFill="1" applyBorder="1" applyAlignment="1">
      <alignment horizontal="center" vertical="center" wrapText="1"/>
    </xf>
    <xf numFmtId="0" fontId="19" fillId="6" borderId="47" xfId="0" applyFont="1" applyFill="1" applyBorder="1" applyAlignment="1">
      <alignment horizontal="center" vertical="center" wrapText="1"/>
    </xf>
    <xf numFmtId="0" fontId="22" fillId="6" borderId="44" xfId="0" applyFont="1" applyFill="1" applyBorder="1" applyAlignment="1">
      <alignment horizontal="center" vertical="center" wrapText="1"/>
    </xf>
    <xf numFmtId="0" fontId="42" fillId="7" borderId="44" xfId="0" applyFont="1" applyFill="1" applyBorder="1" applyAlignment="1">
      <alignment horizontal="center" vertical="center" wrapText="1"/>
    </xf>
    <xf numFmtId="0" fontId="42" fillId="7" borderId="43" xfId="0" applyFont="1" applyFill="1" applyBorder="1" applyAlignment="1">
      <alignment horizontal="center" vertical="center" wrapText="1"/>
    </xf>
    <xf numFmtId="0" fontId="42" fillId="7" borderId="35" xfId="0" applyFont="1" applyFill="1" applyBorder="1" applyAlignment="1">
      <alignment horizontal="center" vertical="center" wrapText="1"/>
    </xf>
    <xf numFmtId="0" fontId="42" fillId="2" borderId="35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21" fillId="2" borderId="46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13" borderId="13" xfId="0" applyFont="1" applyFill="1" applyBorder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9" fillId="6" borderId="14" xfId="0" applyFont="1" applyFill="1" applyBorder="1" applyAlignment="1">
      <alignment horizontal="center" vertical="center"/>
    </xf>
    <xf numFmtId="0" fontId="19" fillId="6" borderId="12" xfId="0" applyFont="1" applyFill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1" fillId="17" borderId="38" xfId="0" applyFont="1" applyFill="1" applyBorder="1" applyAlignment="1">
      <alignment horizontal="center" vertical="center" wrapText="1"/>
    </xf>
    <xf numFmtId="0" fontId="19" fillId="17" borderId="14" xfId="0" applyFont="1" applyFill="1" applyBorder="1" applyAlignment="1">
      <alignment horizontal="center" vertical="center"/>
    </xf>
    <xf numFmtId="0" fontId="19" fillId="17" borderId="13" xfId="0" applyFont="1" applyFill="1" applyBorder="1" applyAlignment="1">
      <alignment horizontal="center" vertical="center" wrapText="1"/>
    </xf>
    <xf numFmtId="0" fontId="20" fillId="17" borderId="13" xfId="0" applyFont="1" applyFill="1" applyBorder="1" applyAlignment="1">
      <alignment horizontal="center" vertical="center" wrapText="1"/>
    </xf>
    <xf numFmtId="0" fontId="42" fillId="3" borderId="13" xfId="0" applyFont="1" applyFill="1" applyBorder="1" applyAlignment="1">
      <alignment horizontal="center" vertical="center" wrapText="1"/>
    </xf>
    <xf numFmtId="0" fontId="42" fillId="3" borderId="14" xfId="0" applyFont="1" applyFill="1" applyBorder="1" applyAlignment="1">
      <alignment horizontal="center" vertical="center"/>
    </xf>
    <xf numFmtId="0" fontId="42" fillId="3" borderId="12" xfId="0" applyFont="1" applyFill="1" applyBorder="1" applyAlignment="1">
      <alignment horizontal="center" vertical="center" wrapText="1"/>
    </xf>
    <xf numFmtId="0" fontId="42" fillId="3" borderId="53" xfId="0" applyFont="1" applyFill="1" applyBorder="1" applyAlignment="1">
      <alignment horizontal="center" vertical="center" wrapText="1"/>
    </xf>
    <xf numFmtId="0" fontId="43" fillId="2" borderId="14" xfId="0" applyFont="1" applyFill="1" applyBorder="1" applyAlignment="1">
      <alignment horizontal="center" vertical="center" wrapText="1"/>
    </xf>
    <xf numFmtId="0" fontId="21" fillId="2" borderId="52" xfId="0" applyFont="1" applyFill="1" applyBorder="1" applyAlignment="1">
      <alignment horizontal="center" vertical="center" wrapText="1"/>
    </xf>
    <xf numFmtId="0" fontId="19" fillId="16" borderId="13" xfId="0" applyFont="1" applyFill="1" applyBorder="1" applyAlignment="1">
      <alignment horizontal="center" vertical="center" wrapText="1"/>
    </xf>
    <xf numFmtId="0" fontId="21" fillId="16" borderId="13" xfId="0" applyFont="1" applyFill="1" applyBorder="1" applyAlignment="1">
      <alignment horizontal="center" vertical="center" wrapText="1"/>
    </xf>
    <xf numFmtId="0" fontId="10" fillId="0" borderId="3" xfId="0" applyFont="1" applyBorder="1"/>
    <xf numFmtId="0" fontId="10" fillId="0" borderId="4" xfId="0" applyFont="1" applyBorder="1"/>
    <xf numFmtId="0" fontId="1" fillId="0" borderId="4" xfId="0" applyFont="1" applyBorder="1"/>
    <xf numFmtId="0" fontId="1" fillId="0" borderId="5" xfId="0" applyFont="1" applyBorder="1"/>
    <xf numFmtId="0" fontId="28" fillId="2" borderId="17" xfId="0" applyFont="1" applyFill="1" applyBorder="1" applyAlignment="1">
      <alignment horizontal="center" vertical="center"/>
    </xf>
    <xf numFmtId="16" fontId="29" fillId="2" borderId="34" xfId="0" applyNumberFormat="1" applyFont="1" applyFill="1" applyBorder="1" applyAlignment="1">
      <alignment horizontal="center" vertical="center"/>
    </xf>
    <xf numFmtId="0" fontId="19" fillId="2" borderId="34" xfId="0" applyFont="1" applyFill="1" applyBorder="1" applyAlignment="1">
      <alignment horizontal="center" vertical="center" wrapText="1"/>
    </xf>
    <xf numFmtId="0" fontId="19" fillId="2" borderId="34" xfId="0" applyFont="1" applyFill="1" applyBorder="1" applyAlignment="1">
      <alignment horizontal="center" vertical="center"/>
    </xf>
    <xf numFmtId="0" fontId="21" fillId="2" borderId="34" xfId="0" applyFont="1" applyFill="1" applyBorder="1" applyAlignment="1">
      <alignment horizontal="center" vertical="center" wrapText="1"/>
    </xf>
    <xf numFmtId="0" fontId="21" fillId="2" borderId="79" xfId="0" applyFont="1" applyFill="1" applyBorder="1" applyAlignment="1">
      <alignment horizontal="center" vertical="center" textRotation="90" wrapText="1"/>
    </xf>
    <xf numFmtId="0" fontId="10" fillId="18" borderId="64" xfId="0" applyFont="1" applyFill="1" applyBorder="1" applyAlignment="1">
      <alignment horizontal="center" vertical="center"/>
    </xf>
    <xf numFmtId="0" fontId="10" fillId="18" borderId="75" xfId="0" applyFont="1" applyFill="1" applyBorder="1" applyAlignment="1">
      <alignment horizontal="left"/>
    </xf>
    <xf numFmtId="0" fontId="10" fillId="18" borderId="68" xfId="0" applyFont="1" applyFill="1" applyBorder="1" applyAlignment="1">
      <alignment horizontal="center"/>
    </xf>
    <xf numFmtId="0" fontId="10" fillId="18" borderId="68" xfId="0" applyFont="1" applyFill="1" applyBorder="1" applyAlignment="1">
      <alignment horizontal="center" vertical="center"/>
    </xf>
    <xf numFmtId="0" fontId="32" fillId="18" borderId="68" xfId="0" applyFont="1" applyFill="1" applyBorder="1" applyAlignment="1">
      <alignment horizontal="center"/>
    </xf>
    <xf numFmtId="0" fontId="9" fillId="18" borderId="68" xfId="0" applyFont="1" applyFill="1" applyBorder="1" applyAlignment="1">
      <alignment horizontal="center"/>
    </xf>
    <xf numFmtId="0" fontId="38" fillId="18" borderId="68" xfId="0" applyFont="1" applyFill="1" applyBorder="1" applyAlignment="1">
      <alignment horizontal="left"/>
    </xf>
    <xf numFmtId="0" fontId="10" fillId="17" borderId="73" xfId="0" applyFont="1" applyFill="1" applyBorder="1" applyAlignment="1">
      <alignment horizontal="center" vertical="center"/>
    </xf>
    <xf numFmtId="0" fontId="10" fillId="17" borderId="75" xfId="0" applyFont="1" applyFill="1" applyBorder="1" applyAlignment="1">
      <alignment horizontal="left"/>
    </xf>
    <xf numFmtId="0" fontId="10" fillId="17" borderId="23" xfId="0" applyFont="1" applyFill="1" applyBorder="1" applyAlignment="1">
      <alignment horizontal="center"/>
    </xf>
    <xf numFmtId="0" fontId="10" fillId="17" borderId="68" xfId="0" applyFont="1" applyFill="1" applyBorder="1" applyAlignment="1">
      <alignment horizontal="center" vertical="center"/>
    </xf>
    <xf numFmtId="0" fontId="32" fillId="17" borderId="68" xfId="0" applyFont="1" applyFill="1" applyBorder="1" applyAlignment="1">
      <alignment horizontal="center"/>
    </xf>
    <xf numFmtId="0" fontId="9" fillId="17" borderId="68" xfId="0" applyFont="1" applyFill="1" applyBorder="1" applyAlignment="1">
      <alignment horizontal="center"/>
    </xf>
    <xf numFmtId="0" fontId="38" fillId="17" borderId="68" xfId="0" applyFont="1" applyFill="1" applyBorder="1" applyAlignment="1">
      <alignment horizontal="left"/>
    </xf>
    <xf numFmtId="0" fontId="8" fillId="0" borderId="60" xfId="0" applyFont="1" applyBorder="1" applyAlignment="1">
      <alignment horizontal="center"/>
    </xf>
    <xf numFmtId="0" fontId="8" fillId="0" borderId="58" xfId="0" applyFont="1" applyBorder="1" applyAlignment="1">
      <alignment horizontal="center"/>
    </xf>
    <xf numFmtId="0" fontId="8" fillId="0" borderId="58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wdp"/><Relationship Id="rId5" Type="http://schemas.openxmlformats.org/officeDocument/2006/relationships/image" Target="../media/image5.png"/><Relationship Id="rId4" Type="http://schemas.openxmlformats.org/officeDocument/2006/relationships/image" Target="../media/image4.wdp"/><Relationship Id="rId3" Type="http://schemas.openxmlformats.org/officeDocument/2006/relationships/image" Target="../media/image3.png"/><Relationship Id="rId2" Type="http://schemas.openxmlformats.org/officeDocument/2006/relationships/image" Target="../media/image2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wdp"/><Relationship Id="rId5" Type="http://schemas.openxmlformats.org/officeDocument/2006/relationships/image" Target="../media/image5.png"/><Relationship Id="rId4" Type="http://schemas.openxmlformats.org/officeDocument/2006/relationships/image" Target="../media/image4.wdp"/><Relationship Id="rId3" Type="http://schemas.openxmlformats.org/officeDocument/2006/relationships/image" Target="../media/image3.png"/><Relationship Id="rId2" Type="http://schemas.openxmlformats.org/officeDocument/2006/relationships/image" Target="../media/image2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wdp"/><Relationship Id="rId5" Type="http://schemas.openxmlformats.org/officeDocument/2006/relationships/image" Target="../media/image5.png"/><Relationship Id="rId4" Type="http://schemas.openxmlformats.org/officeDocument/2006/relationships/image" Target="../media/image4.wdp"/><Relationship Id="rId3" Type="http://schemas.openxmlformats.org/officeDocument/2006/relationships/image" Target="../media/image3.png"/><Relationship Id="rId2" Type="http://schemas.openxmlformats.org/officeDocument/2006/relationships/image" Target="../media/image2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wdp"/><Relationship Id="rId5" Type="http://schemas.openxmlformats.org/officeDocument/2006/relationships/image" Target="../media/image5.png"/><Relationship Id="rId4" Type="http://schemas.openxmlformats.org/officeDocument/2006/relationships/image" Target="../media/image4.wdp"/><Relationship Id="rId3" Type="http://schemas.openxmlformats.org/officeDocument/2006/relationships/image" Target="../media/image3.png"/><Relationship Id="rId2" Type="http://schemas.openxmlformats.org/officeDocument/2006/relationships/image" Target="../media/image2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200604</xdr:colOff>
      <xdr:row>2</xdr:row>
      <xdr:rowOff>73819</xdr:rowOff>
    </xdr:from>
    <xdr:to>
      <xdr:col>14</xdr:col>
      <xdr:colOff>560266</xdr:colOff>
      <xdr:row>2</xdr:row>
      <xdr:rowOff>73819</xdr:rowOff>
    </xdr:to>
    <xdr:cxnSp>
      <xdr:nvCxnSpPr>
        <xdr:cNvPr id="2" name="Straight Connector 1"/>
        <xdr:cNvCxnSpPr/>
      </xdr:nvCxnSpPr>
      <xdr:spPr>
        <a:xfrm>
          <a:off x="9030335" y="1121410"/>
          <a:ext cx="17824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3" name="Straight Connector 2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661652</xdr:colOff>
      <xdr:row>1</xdr:row>
      <xdr:rowOff>43302</xdr:rowOff>
    </xdr:from>
    <xdr:to>
      <xdr:col>4</xdr:col>
      <xdr:colOff>324058</xdr:colOff>
      <xdr:row>1</xdr:row>
      <xdr:rowOff>43302</xdr:rowOff>
    </xdr:to>
    <xdr:cxnSp>
      <xdr:nvCxnSpPr>
        <xdr:cNvPr id="4" name="Straight Connector 3"/>
        <xdr:cNvCxnSpPr/>
      </xdr:nvCxnSpPr>
      <xdr:spPr>
        <a:xfrm>
          <a:off x="1601470" y="767080"/>
          <a:ext cx="18630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5" name="Straight Connector 4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6" name="Straight Connector 5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7" name="Straight Connector 6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8" name="Straight Connector 7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9" name="Straight Connector 8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10" name="Straight Connector 9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11" name="Straight Connector 10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12" name="Straight Connector 11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577644</xdr:colOff>
      <xdr:row>27</xdr:row>
      <xdr:rowOff>184355</xdr:rowOff>
    </xdr:from>
    <xdr:to>
      <xdr:col>15</xdr:col>
      <xdr:colOff>568257</xdr:colOff>
      <xdr:row>33</xdr:row>
      <xdr:rowOff>226755</xdr:rowOff>
    </xdr:to>
    <xdr:pic>
      <xdr:nvPicPr>
        <xdr:cNvPr id="13" name="Picture 12"/>
        <xdr:cNvPicPr>
          <a:picLocks noChangeAspect="1"/>
        </xdr:cNvPicPr>
      </xdr:nvPicPr>
      <xdr:blipFill>
        <a:blip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19" b="89879" l="7152" r="89911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696325" y="10299700"/>
          <a:ext cx="2835275" cy="1802765"/>
        </a:xfrm>
        <a:prstGeom prst="rect">
          <a:avLst/>
        </a:prstGeom>
      </xdr:spPr>
    </xdr:pic>
    <xdr:clientData/>
  </xdr:twoCellAnchor>
  <xdr:twoCellAnchor editAs="oneCell">
    <xdr:from>
      <xdr:col>15</xdr:col>
      <xdr:colOff>508777</xdr:colOff>
      <xdr:row>29</xdr:row>
      <xdr:rowOff>90873</xdr:rowOff>
    </xdr:from>
    <xdr:to>
      <xdr:col>20</xdr:col>
      <xdr:colOff>581480</xdr:colOff>
      <xdr:row>33</xdr:row>
      <xdr:rowOff>23553</xdr:rowOff>
    </xdr:to>
    <xdr:pic>
      <xdr:nvPicPr>
        <xdr:cNvPr id="14" name="Picture 13"/>
        <xdr:cNvPicPr>
          <a:picLocks noChangeAspect="1"/>
        </xdr:cNvPicPr>
      </xdr:nvPicPr>
      <xdr:blipFill>
        <a:blip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07" b="93640" l="13871" r="98925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472545" y="10793095"/>
          <a:ext cx="3628390" cy="1106170"/>
        </a:xfrm>
        <a:prstGeom prst="rect">
          <a:avLst/>
        </a:prstGeom>
      </xdr:spPr>
    </xdr:pic>
    <xdr:clientData/>
  </xdr:twoCellAnchor>
  <xdr:twoCellAnchor editAs="oneCell">
    <xdr:from>
      <xdr:col>21</xdr:col>
      <xdr:colOff>235746</xdr:colOff>
      <xdr:row>29</xdr:row>
      <xdr:rowOff>56237</xdr:rowOff>
    </xdr:from>
    <xdr:to>
      <xdr:col>25</xdr:col>
      <xdr:colOff>180357</xdr:colOff>
      <xdr:row>32</xdr:row>
      <xdr:rowOff>82432</xdr:rowOff>
    </xdr:to>
    <xdr:pic>
      <xdr:nvPicPr>
        <xdr:cNvPr id="15" name="Picture 14"/>
        <xdr:cNvPicPr>
          <a:picLocks noChangeAspect="1"/>
        </xdr:cNvPicPr>
      </xdr:nvPicPr>
      <xdr:blipFill>
        <a:blip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9211" b="89803" l="6982" r="95585">
                      <a14:foregroundMark x1="3388" y1="12829" x2="16530" y2="9539"/>
                      <a14:foregroundMark x1="16530" y1="9539" x2="16324" y2="56250"/>
                      <a14:foregroundMark x1="16324" y1="56250" x2="18172" y2="74013"/>
                      <a14:foregroundMark x1="18172" y1="74013" x2="23717" y2="86513"/>
                      <a14:foregroundMark x1="23717" y1="86513" x2="24538" y2="86513"/>
                      <a14:foregroundMark x1="7084" y1="10526" x2="12731" y2="16776"/>
                      <a14:foregroundMark x1="12731" y1="16776" x2="14784" y2="16776"/>
                      <a14:foregroundMark x1="86756" y1="51974" x2="95072" y2="41447"/>
                      <a14:foregroundMark x1="95072" y1="41447" x2="90554" y2="54605"/>
                      <a14:foregroundMark x1="90554" y1="54605" x2="87885" y2="54605"/>
                      <a14:foregroundMark x1="93840" y1="45724" x2="92094" y2="52961"/>
                      <a14:foregroundMark x1="95277" y1="46382" x2="95585" y2="50329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21386297">
          <a:off x="15466695" y="10758170"/>
          <a:ext cx="2789555" cy="9061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425738</xdr:colOff>
      <xdr:row>2</xdr:row>
      <xdr:rowOff>73819</xdr:rowOff>
    </xdr:from>
    <xdr:to>
      <xdr:col>15</xdr:col>
      <xdr:colOff>75354</xdr:colOff>
      <xdr:row>2</xdr:row>
      <xdr:rowOff>73819</xdr:rowOff>
    </xdr:to>
    <xdr:cxnSp>
      <xdr:nvCxnSpPr>
        <xdr:cNvPr id="2" name="Straight Connector 1"/>
        <xdr:cNvCxnSpPr/>
      </xdr:nvCxnSpPr>
      <xdr:spPr>
        <a:xfrm>
          <a:off x="9255760" y="1121410"/>
          <a:ext cx="17830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3" name="Straight Connector 2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176743</xdr:colOff>
      <xdr:row>1</xdr:row>
      <xdr:rowOff>181848</xdr:rowOff>
    </xdr:from>
    <xdr:to>
      <xdr:col>4</xdr:col>
      <xdr:colOff>618467</xdr:colOff>
      <xdr:row>1</xdr:row>
      <xdr:rowOff>181848</xdr:rowOff>
    </xdr:to>
    <xdr:cxnSp>
      <xdr:nvCxnSpPr>
        <xdr:cNvPr id="4" name="Straight Connector 3"/>
        <xdr:cNvCxnSpPr/>
      </xdr:nvCxnSpPr>
      <xdr:spPr>
        <a:xfrm>
          <a:off x="1894840" y="905510"/>
          <a:ext cx="18637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5" name="Straight Connector 4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6" name="Straight Connector 5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7" name="Straight Connector 6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8" name="Straight Connector 7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9" name="Straight Connector 8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10" name="Straight Connector 9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11" name="Straight Connector 10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12" name="Straight Connector 11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639097</xdr:colOff>
      <xdr:row>28</xdr:row>
      <xdr:rowOff>147484</xdr:rowOff>
    </xdr:from>
    <xdr:to>
      <xdr:col>15</xdr:col>
      <xdr:colOff>629710</xdr:colOff>
      <xdr:row>34</xdr:row>
      <xdr:rowOff>189885</xdr:rowOff>
    </xdr:to>
    <xdr:pic>
      <xdr:nvPicPr>
        <xdr:cNvPr id="13" name="Picture 12"/>
        <xdr:cNvPicPr>
          <a:picLocks noChangeAspect="1"/>
        </xdr:cNvPicPr>
      </xdr:nvPicPr>
      <xdr:blipFill>
        <a:blip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19" b="89879" l="7152" r="89911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757920" y="10556240"/>
          <a:ext cx="2835275" cy="1802765"/>
        </a:xfrm>
        <a:prstGeom prst="rect">
          <a:avLst/>
        </a:prstGeom>
      </xdr:spPr>
    </xdr:pic>
    <xdr:clientData/>
  </xdr:twoCellAnchor>
  <xdr:twoCellAnchor editAs="oneCell">
    <xdr:from>
      <xdr:col>15</xdr:col>
      <xdr:colOff>570230</xdr:colOff>
      <xdr:row>30</xdr:row>
      <xdr:rowOff>54003</xdr:rowOff>
    </xdr:from>
    <xdr:to>
      <xdr:col>20</xdr:col>
      <xdr:colOff>642933</xdr:colOff>
      <xdr:row>33</xdr:row>
      <xdr:rowOff>281650</xdr:rowOff>
    </xdr:to>
    <xdr:pic>
      <xdr:nvPicPr>
        <xdr:cNvPr id="14" name="Picture 13"/>
        <xdr:cNvPicPr>
          <a:picLocks noChangeAspect="1"/>
        </xdr:cNvPicPr>
      </xdr:nvPicPr>
      <xdr:blipFill>
        <a:blip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07" b="93640" l="13871" r="98925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534140" y="11049635"/>
          <a:ext cx="3628390" cy="1107440"/>
        </a:xfrm>
        <a:prstGeom prst="rect">
          <a:avLst/>
        </a:prstGeom>
      </xdr:spPr>
    </xdr:pic>
    <xdr:clientData/>
  </xdr:twoCellAnchor>
  <xdr:twoCellAnchor editAs="oneCell">
    <xdr:from>
      <xdr:col>21</xdr:col>
      <xdr:colOff>297199</xdr:colOff>
      <xdr:row>30</xdr:row>
      <xdr:rowOff>19367</xdr:rowOff>
    </xdr:from>
    <xdr:to>
      <xdr:col>25</xdr:col>
      <xdr:colOff>241810</xdr:colOff>
      <xdr:row>33</xdr:row>
      <xdr:rowOff>45561</xdr:rowOff>
    </xdr:to>
    <xdr:pic>
      <xdr:nvPicPr>
        <xdr:cNvPr id="15" name="Picture 14"/>
        <xdr:cNvPicPr>
          <a:picLocks noChangeAspect="1"/>
        </xdr:cNvPicPr>
      </xdr:nvPicPr>
      <xdr:blipFill>
        <a:blip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9211" b="89803" l="6982" r="95585">
                      <a14:foregroundMark x1="3388" y1="12829" x2="16530" y2="9539"/>
                      <a14:foregroundMark x1="16530" y1="9539" x2="16324" y2="56250"/>
                      <a14:foregroundMark x1="16324" y1="56250" x2="18172" y2="74013"/>
                      <a14:foregroundMark x1="18172" y1="74013" x2="23717" y2="86513"/>
                      <a14:foregroundMark x1="23717" y1="86513" x2="24538" y2="86513"/>
                      <a14:foregroundMark x1="7084" y1="10526" x2="12731" y2="16776"/>
                      <a14:foregroundMark x1="12731" y1="16776" x2="14784" y2="16776"/>
                      <a14:foregroundMark x1="86756" y1="51974" x2="95072" y2="41447"/>
                      <a14:foregroundMark x1="95072" y1="41447" x2="90554" y2="54605"/>
                      <a14:foregroundMark x1="90554" y1="54605" x2="87885" y2="54605"/>
                      <a14:foregroundMark x1="93840" y1="45724" x2="92094" y2="52961"/>
                      <a14:foregroundMark x1="95277" y1="46382" x2="95585" y2="50329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21386297">
          <a:off x="15528290" y="11014710"/>
          <a:ext cx="2788920" cy="9061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425738</xdr:colOff>
      <xdr:row>2</xdr:row>
      <xdr:rowOff>73819</xdr:rowOff>
    </xdr:from>
    <xdr:to>
      <xdr:col>15</xdr:col>
      <xdr:colOff>75354</xdr:colOff>
      <xdr:row>2</xdr:row>
      <xdr:rowOff>73819</xdr:rowOff>
    </xdr:to>
    <xdr:cxnSp>
      <xdr:nvCxnSpPr>
        <xdr:cNvPr id="2" name="Straight Connector 1"/>
        <xdr:cNvCxnSpPr/>
      </xdr:nvCxnSpPr>
      <xdr:spPr>
        <a:xfrm>
          <a:off x="9255760" y="1121410"/>
          <a:ext cx="17830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3" name="Straight Connector 2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176743</xdr:colOff>
      <xdr:row>1</xdr:row>
      <xdr:rowOff>181848</xdr:rowOff>
    </xdr:from>
    <xdr:to>
      <xdr:col>4</xdr:col>
      <xdr:colOff>618467</xdr:colOff>
      <xdr:row>1</xdr:row>
      <xdr:rowOff>181848</xdr:rowOff>
    </xdr:to>
    <xdr:cxnSp>
      <xdr:nvCxnSpPr>
        <xdr:cNvPr id="4" name="Straight Connector 3"/>
        <xdr:cNvCxnSpPr/>
      </xdr:nvCxnSpPr>
      <xdr:spPr>
        <a:xfrm>
          <a:off x="1894840" y="905510"/>
          <a:ext cx="18637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5" name="Straight Connector 4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6" name="Straight Connector 5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7" name="Straight Connector 6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8" name="Straight Connector 7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9" name="Straight Connector 8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10" name="Straight Connector 9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11" name="Straight Connector 10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12" name="Straight Connector 11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554182</xdr:colOff>
      <xdr:row>28</xdr:row>
      <xdr:rowOff>17318</xdr:rowOff>
    </xdr:from>
    <xdr:to>
      <xdr:col>15</xdr:col>
      <xdr:colOff>592637</xdr:colOff>
      <xdr:row>34</xdr:row>
      <xdr:rowOff>63070</xdr:rowOff>
    </xdr:to>
    <xdr:pic>
      <xdr:nvPicPr>
        <xdr:cNvPr id="13" name="Picture 12"/>
        <xdr:cNvPicPr>
          <a:picLocks noChangeAspect="1"/>
        </xdr:cNvPicPr>
      </xdr:nvPicPr>
      <xdr:blipFill>
        <a:blip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19" b="89879" l="7152" r="89911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672830" y="10426065"/>
          <a:ext cx="2883535" cy="1805940"/>
        </a:xfrm>
        <a:prstGeom prst="rect">
          <a:avLst/>
        </a:prstGeom>
      </xdr:spPr>
    </xdr:pic>
    <xdr:clientData/>
  </xdr:twoCellAnchor>
  <xdr:twoCellAnchor editAs="oneCell">
    <xdr:from>
      <xdr:col>15</xdr:col>
      <xdr:colOff>525537</xdr:colOff>
      <xdr:row>29</xdr:row>
      <xdr:rowOff>219363</xdr:rowOff>
    </xdr:from>
    <xdr:to>
      <xdr:col>20</xdr:col>
      <xdr:colOff>648519</xdr:colOff>
      <xdr:row>33</xdr:row>
      <xdr:rowOff>154277</xdr:rowOff>
    </xdr:to>
    <xdr:pic>
      <xdr:nvPicPr>
        <xdr:cNvPr id="14" name="Picture 13"/>
        <xdr:cNvPicPr>
          <a:picLocks noChangeAspect="1"/>
        </xdr:cNvPicPr>
      </xdr:nvPicPr>
      <xdr:blipFill>
        <a:blip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07" b="93640" l="13871" r="98925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489055" y="10921365"/>
          <a:ext cx="3679190" cy="1108075"/>
        </a:xfrm>
        <a:prstGeom prst="rect">
          <a:avLst/>
        </a:prstGeom>
      </xdr:spPr>
    </xdr:pic>
    <xdr:clientData/>
  </xdr:twoCellAnchor>
  <xdr:twoCellAnchor editAs="oneCell">
    <xdr:from>
      <xdr:col>21</xdr:col>
      <xdr:colOff>312840</xdr:colOff>
      <xdr:row>29</xdr:row>
      <xdr:rowOff>184727</xdr:rowOff>
    </xdr:from>
    <xdr:to>
      <xdr:col>25</xdr:col>
      <xdr:colOff>297675</xdr:colOff>
      <xdr:row>32</xdr:row>
      <xdr:rowOff>212597</xdr:rowOff>
    </xdr:to>
    <xdr:pic>
      <xdr:nvPicPr>
        <xdr:cNvPr id="15" name="Picture 14"/>
        <xdr:cNvPicPr>
          <a:picLocks noChangeAspect="1"/>
        </xdr:cNvPicPr>
      </xdr:nvPicPr>
      <xdr:blipFill>
        <a:blip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9211" b="89803" l="6982" r="95585">
                      <a14:foregroundMark x1="3388" y1="12829" x2="16530" y2="9539"/>
                      <a14:foregroundMark x1="16530" y1="9539" x2="16324" y2="56250"/>
                      <a14:foregroundMark x1="16324" y1="56250" x2="18172" y2="74013"/>
                      <a14:foregroundMark x1="18172" y1="74013" x2="23717" y2="86513"/>
                      <a14:foregroundMark x1="23717" y1="86513" x2="24538" y2="86513"/>
                      <a14:foregroundMark x1="7084" y1="10526" x2="12731" y2="16776"/>
                      <a14:foregroundMark x1="12731" y1="16776" x2="14784" y2="16776"/>
                      <a14:foregroundMark x1="86756" y1="51974" x2="95072" y2="41447"/>
                      <a14:foregroundMark x1="95072" y1="41447" x2="90554" y2="54605"/>
                      <a14:foregroundMark x1="90554" y1="54605" x2="87885" y2="54605"/>
                      <a14:foregroundMark x1="93840" y1="45724" x2="92094" y2="52961"/>
                      <a14:foregroundMark x1="95277" y1="46382" x2="95585" y2="50329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21386297">
          <a:off x="15543530" y="10886440"/>
          <a:ext cx="2829560" cy="9080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425738</xdr:colOff>
      <xdr:row>2</xdr:row>
      <xdr:rowOff>73819</xdr:rowOff>
    </xdr:from>
    <xdr:to>
      <xdr:col>15</xdr:col>
      <xdr:colOff>75354</xdr:colOff>
      <xdr:row>2</xdr:row>
      <xdr:rowOff>73819</xdr:rowOff>
    </xdr:to>
    <xdr:cxnSp>
      <xdr:nvCxnSpPr>
        <xdr:cNvPr id="2" name="Straight Connector 1"/>
        <xdr:cNvCxnSpPr/>
      </xdr:nvCxnSpPr>
      <xdr:spPr>
        <a:xfrm>
          <a:off x="9255760" y="1121410"/>
          <a:ext cx="17830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3" name="Straight Connector 2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176743</xdr:colOff>
      <xdr:row>1</xdr:row>
      <xdr:rowOff>181848</xdr:rowOff>
    </xdr:from>
    <xdr:to>
      <xdr:col>4</xdr:col>
      <xdr:colOff>618467</xdr:colOff>
      <xdr:row>1</xdr:row>
      <xdr:rowOff>181848</xdr:rowOff>
    </xdr:to>
    <xdr:cxnSp>
      <xdr:nvCxnSpPr>
        <xdr:cNvPr id="4" name="Straight Connector 3"/>
        <xdr:cNvCxnSpPr/>
      </xdr:nvCxnSpPr>
      <xdr:spPr>
        <a:xfrm>
          <a:off x="1894840" y="905510"/>
          <a:ext cx="18637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5" name="Straight Connector 4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6" name="Straight Connector 5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7" name="Straight Connector 6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8" name="Straight Connector 7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9" name="Straight Connector 8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10" name="Straight Connector 9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11" name="Straight Connector 10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12" name="Straight Connector 11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554182</xdr:colOff>
      <xdr:row>27</xdr:row>
      <xdr:rowOff>277091</xdr:rowOff>
    </xdr:from>
    <xdr:to>
      <xdr:col>15</xdr:col>
      <xdr:colOff>615435</xdr:colOff>
      <xdr:row>34</xdr:row>
      <xdr:rowOff>62924</xdr:rowOff>
    </xdr:to>
    <xdr:pic>
      <xdr:nvPicPr>
        <xdr:cNvPr id="13" name="Picture 12"/>
        <xdr:cNvPicPr>
          <a:picLocks noChangeAspect="1"/>
        </xdr:cNvPicPr>
      </xdr:nvPicPr>
      <xdr:blipFill>
        <a:blip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19" b="89879" l="7152" r="89911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672830" y="10392410"/>
          <a:ext cx="2906395" cy="1839595"/>
        </a:xfrm>
        <a:prstGeom prst="rect">
          <a:avLst/>
        </a:prstGeom>
      </xdr:spPr>
    </xdr:pic>
    <xdr:clientData/>
  </xdr:twoCellAnchor>
  <xdr:twoCellAnchor editAs="oneCell">
    <xdr:from>
      <xdr:col>15</xdr:col>
      <xdr:colOff>542636</xdr:colOff>
      <xdr:row>29</xdr:row>
      <xdr:rowOff>196272</xdr:rowOff>
    </xdr:from>
    <xdr:to>
      <xdr:col>20</xdr:col>
      <xdr:colOff>699815</xdr:colOff>
      <xdr:row>33</xdr:row>
      <xdr:rowOff>148359</xdr:rowOff>
    </xdr:to>
    <xdr:pic>
      <xdr:nvPicPr>
        <xdr:cNvPr id="14" name="Picture 13"/>
        <xdr:cNvPicPr>
          <a:picLocks noChangeAspect="1"/>
        </xdr:cNvPicPr>
      </xdr:nvPicPr>
      <xdr:blipFill>
        <a:blip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07" b="93640" l="13871" r="98925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506200" y="10898505"/>
          <a:ext cx="3713480" cy="1125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364136</xdr:colOff>
      <xdr:row>29</xdr:row>
      <xdr:rowOff>161636</xdr:rowOff>
    </xdr:from>
    <xdr:to>
      <xdr:col>25</xdr:col>
      <xdr:colOff>369578</xdr:colOff>
      <xdr:row>32</xdr:row>
      <xdr:rowOff>205509</xdr:rowOff>
    </xdr:to>
    <xdr:pic>
      <xdr:nvPicPr>
        <xdr:cNvPr id="15" name="Picture 14"/>
        <xdr:cNvPicPr>
          <a:picLocks noChangeAspect="1"/>
        </xdr:cNvPicPr>
      </xdr:nvPicPr>
      <xdr:blipFill>
        <a:blip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9211" b="89803" l="6982" r="95585">
                      <a14:foregroundMark x1="3388" y1="12829" x2="16530" y2="9539"/>
                      <a14:foregroundMark x1="16530" y1="9539" x2="16324" y2="56250"/>
                      <a14:foregroundMark x1="16324" y1="56250" x2="18172" y2="74013"/>
                      <a14:foregroundMark x1="18172" y1="74013" x2="23717" y2="86513"/>
                      <a14:foregroundMark x1="23717" y1="86513" x2="24538" y2="86513"/>
                      <a14:foregroundMark x1="7084" y1="10526" x2="12731" y2="16776"/>
                      <a14:foregroundMark x1="12731" y1="16776" x2="14784" y2="16776"/>
                      <a14:foregroundMark x1="86756" y1="51974" x2="95072" y2="41447"/>
                      <a14:foregroundMark x1="95072" y1="41447" x2="90554" y2="54605"/>
                      <a14:foregroundMark x1="90554" y1="54605" x2="87885" y2="54605"/>
                      <a14:foregroundMark x1="93840" y1="45724" x2="92094" y2="52961"/>
                      <a14:foregroundMark x1="95277" y1="46382" x2="95585" y2="50329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21386297">
          <a:off x="15594965" y="10863580"/>
          <a:ext cx="2850515" cy="923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08"/>
  <sheetViews>
    <sheetView zoomScale="62" zoomScaleNormal="62" workbookViewId="0">
      <selection activeCell="AC15" sqref="AC15"/>
    </sheetView>
  </sheetViews>
  <sheetFormatPr defaultColWidth="9.1047619047619" defaultRowHeight="15"/>
  <cols>
    <col min="1" max="1" width="14.1047619047619" style="2" customWidth="1"/>
    <col min="2" max="2" width="11.6666666666667" style="2" customWidth="1"/>
    <col min="3" max="26" width="10.6666666666667" style="2" customWidth="1"/>
    <col min="27" max="16384" width="9.1047619047619" style="2"/>
  </cols>
  <sheetData>
    <row r="1" ht="57" customHeight="1" spans="1:33">
      <c r="A1" s="571" t="s">
        <v>0</v>
      </c>
      <c r="B1" s="571"/>
      <c r="C1" s="571"/>
      <c r="D1" s="571"/>
      <c r="E1" s="571"/>
      <c r="F1" s="571"/>
      <c r="G1" s="571"/>
      <c r="H1" s="4" t="s">
        <v>1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6" t="s">
        <v>2</v>
      </c>
      <c r="W1" s="6" t="s">
        <v>3</v>
      </c>
    </row>
    <row r="2" ht="25.5" customHeight="1" spans="1:33">
      <c r="A2" s="572"/>
      <c r="B2" s="572"/>
      <c r="C2" s="572"/>
      <c r="D2" s="572"/>
      <c r="E2" s="572"/>
      <c r="F2" s="572"/>
      <c r="G2" s="572"/>
      <c r="H2" s="7" t="s">
        <v>4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9" t="s">
        <v>5</v>
      </c>
    </row>
    <row r="3" ht="20.25" spans="1:33">
      <c r="V3" s="10" t="s">
        <v>6</v>
      </c>
      <c r="X3" s="10" t="s">
        <v>7</v>
      </c>
    </row>
    <row r="4" ht="20.25" spans="1:33">
      <c r="V4" s="10" t="s">
        <v>8</v>
      </c>
    </row>
    <row r="5" ht="25.5" customHeight="1" spans="1:33">
      <c r="H5" s="11"/>
      <c r="J5" s="12" t="s">
        <v>9</v>
      </c>
      <c r="V5" s="10" t="s">
        <v>10</v>
      </c>
    </row>
    <row r="6" ht="15.75"/>
    <row r="7" ht="24.75" customHeight="1" spans="1:33">
      <c r="A7" s="13" t="s">
        <v>11</v>
      </c>
      <c r="B7" s="14" t="s">
        <v>12</v>
      </c>
      <c r="C7" s="15">
        <v>3</v>
      </c>
      <c r="D7" s="16"/>
      <c r="E7" s="16"/>
      <c r="F7" s="17"/>
      <c r="G7" s="15">
        <v>4</v>
      </c>
      <c r="H7" s="16"/>
      <c r="I7" s="16"/>
      <c r="J7" s="17"/>
      <c r="K7" s="15">
        <v>5</v>
      </c>
      <c r="L7" s="16"/>
      <c r="M7" s="16"/>
      <c r="N7" s="16"/>
      <c r="O7" s="17"/>
      <c r="P7" s="15">
        <v>6</v>
      </c>
      <c r="Q7" s="16"/>
      <c r="R7" s="16"/>
      <c r="S7" s="17"/>
      <c r="T7" s="18" t="s">
        <v>13</v>
      </c>
      <c r="U7" s="19"/>
      <c r="V7" s="19"/>
      <c r="W7" s="19"/>
      <c r="X7" s="20"/>
      <c r="Y7" s="15">
        <v>8</v>
      </c>
      <c r="Z7" s="17"/>
    </row>
    <row r="8" ht="19.5" customHeight="1" spans="1:33">
      <c r="A8" s="21"/>
      <c r="B8" s="22" t="s">
        <v>14</v>
      </c>
      <c r="C8" s="23">
        <v>1</v>
      </c>
      <c r="D8" s="24">
        <v>2</v>
      </c>
      <c r="E8" s="24">
        <v>3</v>
      </c>
      <c r="F8" s="25">
        <v>4</v>
      </c>
      <c r="G8" s="23">
        <v>5</v>
      </c>
      <c r="H8" s="24">
        <v>6</v>
      </c>
      <c r="I8" s="24">
        <v>7</v>
      </c>
      <c r="J8" s="25">
        <v>8</v>
      </c>
      <c r="K8" s="23">
        <v>9</v>
      </c>
      <c r="L8" s="24">
        <v>10</v>
      </c>
      <c r="M8" s="24">
        <v>11</v>
      </c>
      <c r="N8" s="24">
        <v>12</v>
      </c>
      <c r="O8" s="25">
        <v>13</v>
      </c>
      <c r="P8" s="23">
        <v>14</v>
      </c>
      <c r="Q8" s="24">
        <v>15</v>
      </c>
      <c r="R8" s="24">
        <v>16</v>
      </c>
      <c r="S8" s="25">
        <v>17</v>
      </c>
      <c r="T8" s="23">
        <v>18</v>
      </c>
      <c r="U8" s="24">
        <v>19</v>
      </c>
      <c r="V8" s="24">
        <v>20</v>
      </c>
      <c r="W8" s="24">
        <v>21</v>
      </c>
      <c r="X8" s="25">
        <v>22</v>
      </c>
      <c r="Y8" s="23">
        <v>23</v>
      </c>
      <c r="Z8" s="26">
        <v>24</v>
      </c>
    </row>
    <row r="9" ht="33" customHeight="1" spans="1:33">
      <c r="A9" s="27"/>
      <c r="B9" s="28" t="s">
        <v>15</v>
      </c>
      <c r="C9" s="29" t="s">
        <v>16</v>
      </c>
      <c r="D9" s="30" t="s">
        <v>17</v>
      </c>
      <c r="E9" s="30" t="s">
        <v>18</v>
      </c>
      <c r="F9" s="31" t="s">
        <v>19</v>
      </c>
      <c r="G9" s="29" t="s">
        <v>20</v>
      </c>
      <c r="H9" s="30" t="s">
        <v>21</v>
      </c>
      <c r="I9" s="30" t="s">
        <v>22</v>
      </c>
      <c r="J9" s="31" t="s">
        <v>23</v>
      </c>
      <c r="K9" s="29" t="s">
        <v>24</v>
      </c>
      <c r="L9" s="30" t="s">
        <v>25</v>
      </c>
      <c r="M9" s="30" t="s">
        <v>26</v>
      </c>
      <c r="N9" s="30" t="s">
        <v>27</v>
      </c>
      <c r="O9" s="31" t="s">
        <v>28</v>
      </c>
      <c r="P9" s="29" t="s">
        <v>29</v>
      </c>
      <c r="Q9" s="30" t="s">
        <v>30</v>
      </c>
      <c r="R9" s="30" t="s">
        <v>31</v>
      </c>
      <c r="S9" s="31" t="s">
        <v>32</v>
      </c>
      <c r="T9" s="29" t="s">
        <v>33</v>
      </c>
      <c r="U9" s="30" t="s">
        <v>34</v>
      </c>
      <c r="V9" s="30" t="s">
        <v>35</v>
      </c>
      <c r="W9" s="573" t="s">
        <v>23</v>
      </c>
      <c r="X9" s="574" t="s">
        <v>36</v>
      </c>
      <c r="Y9" s="575" t="s">
        <v>37</v>
      </c>
      <c r="Z9" s="576" t="s">
        <v>38</v>
      </c>
    </row>
    <row r="10" ht="39.9" customHeight="1" spans="1:33">
      <c r="A10" s="13">
        <v>2</v>
      </c>
      <c r="B10" s="33" t="s">
        <v>39</v>
      </c>
      <c r="C10" s="577"/>
      <c r="D10" s="578" t="s">
        <v>40</v>
      </c>
      <c r="E10" s="579"/>
      <c r="F10" s="580"/>
      <c r="G10" s="435"/>
      <c r="H10" s="579"/>
      <c r="I10" s="409"/>
      <c r="J10" s="410"/>
      <c r="K10" s="39" t="s">
        <v>41</v>
      </c>
      <c r="L10" s="411"/>
      <c r="M10" s="411"/>
      <c r="N10" s="409"/>
      <c r="O10" s="410"/>
      <c r="P10" s="581"/>
      <c r="Q10" s="582"/>
      <c r="R10" s="582"/>
      <c r="S10" s="583" t="s">
        <v>42</v>
      </c>
      <c r="T10" s="584" t="s">
        <v>43</v>
      </c>
      <c r="U10" s="415"/>
      <c r="V10" s="416"/>
      <c r="W10" s="49" t="s">
        <v>44</v>
      </c>
      <c r="X10" s="49"/>
      <c r="Y10" s="49"/>
      <c r="Z10" s="50"/>
      <c r="AC10" s="51"/>
      <c r="AD10" s="52"/>
    </row>
    <row r="11" ht="39.9" customHeight="1" spans="1:33">
      <c r="A11" s="53"/>
      <c r="B11" s="54" t="s">
        <v>45</v>
      </c>
      <c r="C11" s="585"/>
      <c r="D11" s="586"/>
      <c r="E11" s="586"/>
      <c r="F11" s="587"/>
      <c r="G11" s="588"/>
      <c r="H11" s="589"/>
      <c r="I11" s="590"/>
      <c r="J11" s="591"/>
      <c r="K11" s="58"/>
      <c r="L11" s="590"/>
      <c r="M11" s="592" t="s">
        <v>46</v>
      </c>
      <c r="N11" s="593"/>
      <c r="O11" s="594"/>
      <c r="P11" s="595"/>
      <c r="Q11" s="593"/>
      <c r="R11" s="593"/>
      <c r="S11" s="594"/>
      <c r="T11" s="596" t="s">
        <v>47</v>
      </c>
      <c r="U11" s="430"/>
      <c r="V11" s="431"/>
      <c r="W11" s="49"/>
      <c r="X11" s="49"/>
      <c r="Y11" s="49"/>
      <c r="Z11" s="50"/>
      <c r="AC11" s="69"/>
      <c r="AD11" s="69"/>
    </row>
    <row r="12" ht="39.9" customHeight="1" spans="1:33">
      <c r="A12" s="70">
        <v>3</v>
      </c>
      <c r="B12" s="33" t="s">
        <v>39</v>
      </c>
      <c r="C12" s="597"/>
      <c r="D12" s="462"/>
      <c r="E12" s="462"/>
      <c r="F12" s="598"/>
      <c r="G12" s="404"/>
      <c r="H12" s="462"/>
      <c r="I12" s="405"/>
      <c r="J12" s="599"/>
      <c r="K12" s="600"/>
      <c r="L12" s="601"/>
      <c r="M12" s="602"/>
      <c r="N12" s="602"/>
      <c r="O12" s="603"/>
      <c r="P12" s="604"/>
      <c r="Q12" s="605"/>
      <c r="R12" s="602"/>
      <c r="S12" s="603"/>
      <c r="T12" s="445"/>
      <c r="U12" s="446"/>
      <c r="V12" s="446"/>
      <c r="W12" s="49"/>
      <c r="X12" s="49"/>
      <c r="Y12" s="49"/>
      <c r="Z12" s="50"/>
      <c r="AC12" s="84"/>
      <c r="AD12" s="84"/>
      <c r="AE12" s="84"/>
      <c r="AF12" s="84"/>
    </row>
    <row r="13" ht="39.9" customHeight="1" spans="1:33">
      <c r="A13" s="53"/>
      <c r="B13" s="54" t="s">
        <v>45</v>
      </c>
      <c r="C13" s="585"/>
      <c r="D13" s="418"/>
      <c r="E13" s="418"/>
      <c r="F13" s="419"/>
      <c r="G13" s="606" t="s">
        <v>48</v>
      </c>
      <c r="H13" s="424"/>
      <c r="I13" s="475"/>
      <c r="J13" s="475"/>
      <c r="K13" s="607"/>
      <c r="L13" s="608"/>
      <c r="M13" s="608"/>
      <c r="N13" s="608"/>
      <c r="O13" s="609"/>
      <c r="P13" s="607"/>
      <c r="Q13" s="608"/>
      <c r="R13" s="608"/>
      <c r="S13" s="610"/>
      <c r="T13" s="459"/>
      <c r="U13" s="460"/>
      <c r="V13" s="460"/>
      <c r="W13" s="49"/>
      <c r="X13" s="49"/>
      <c r="Y13" s="49"/>
      <c r="Z13" s="50"/>
      <c r="AC13" s="102">
        <f>30/4</f>
        <v>7.5</v>
      </c>
      <c r="AD13" s="102"/>
      <c r="AE13" s="102"/>
      <c r="AF13" s="102"/>
      <c r="AG13" s="103">
        <v>9</v>
      </c>
    </row>
    <row r="14" ht="39.9" customHeight="1" spans="1:33">
      <c r="A14" s="70">
        <v>4</v>
      </c>
      <c r="B14" s="33" t="s">
        <v>39</v>
      </c>
      <c r="C14" s="597"/>
      <c r="D14" s="433"/>
      <c r="E14" s="433"/>
      <c r="F14" s="434"/>
      <c r="G14" s="435"/>
      <c r="H14" s="579"/>
      <c r="I14" s="409"/>
      <c r="J14" s="410"/>
      <c r="K14" s="466"/>
      <c r="L14" s="411"/>
      <c r="M14" s="409"/>
      <c r="N14" s="467"/>
      <c r="O14" s="468" t="s">
        <v>49</v>
      </c>
      <c r="P14" s="581"/>
      <c r="Q14" s="582"/>
      <c r="R14" s="582"/>
      <c r="S14" s="444"/>
      <c r="T14" s="611" t="s">
        <v>50</v>
      </c>
      <c r="U14" s="416"/>
      <c r="V14" s="416"/>
      <c r="W14" s="49"/>
      <c r="X14" s="49"/>
      <c r="Y14" s="49"/>
      <c r="Z14" s="50"/>
      <c r="AC14" s="102">
        <f>15/4</f>
        <v>3.75</v>
      </c>
      <c r="AD14" s="102"/>
      <c r="AE14" s="102"/>
      <c r="AF14" s="102"/>
      <c r="AG14" s="114">
        <v>5</v>
      </c>
    </row>
    <row r="15" ht="39.9" customHeight="1" spans="1:33">
      <c r="A15" s="53"/>
      <c r="B15" s="54" t="s">
        <v>45</v>
      </c>
      <c r="C15" s="585"/>
      <c r="D15" s="586"/>
      <c r="E15" s="589"/>
      <c r="F15" s="612"/>
      <c r="G15" s="613"/>
      <c r="H15" s="614"/>
      <c r="I15" s="586" t="s">
        <v>51</v>
      </c>
      <c r="J15" s="615"/>
      <c r="K15" s="616" t="s">
        <v>52</v>
      </c>
      <c r="L15" s="617"/>
      <c r="M15" s="618"/>
      <c r="N15" s="619"/>
      <c r="O15" s="620"/>
      <c r="P15" s="621"/>
      <c r="Q15" s="618"/>
      <c r="R15" s="618"/>
      <c r="S15" s="622"/>
      <c r="T15" s="623"/>
      <c r="U15" s="482"/>
      <c r="V15" s="460"/>
      <c r="W15" s="49"/>
      <c r="X15" s="49"/>
      <c r="Y15" s="49"/>
      <c r="Z15" s="50"/>
    </row>
    <row r="16" ht="39.9" customHeight="1" spans="1:33">
      <c r="A16" s="70">
        <v>5</v>
      </c>
      <c r="B16" s="33" t="s">
        <v>39</v>
      </c>
      <c r="C16" s="624"/>
      <c r="D16" s="462"/>
      <c r="E16" s="462"/>
      <c r="F16" s="598"/>
      <c r="G16" s="625" t="s">
        <v>53</v>
      </c>
      <c r="H16" s="462"/>
      <c r="I16" s="626"/>
      <c r="J16" s="627"/>
      <c r="K16" s="160" t="s">
        <v>54</v>
      </c>
      <c r="L16" s="628" t="s">
        <v>53</v>
      </c>
      <c r="M16" s="629"/>
      <c r="N16" s="629"/>
      <c r="O16" s="630"/>
      <c r="P16" s="625" t="s">
        <v>53</v>
      </c>
      <c r="Q16" s="629"/>
      <c r="R16" s="631"/>
      <c r="S16" s="632" t="s">
        <v>55</v>
      </c>
      <c r="T16" s="490" t="s">
        <v>53</v>
      </c>
      <c r="U16" s="491"/>
      <c r="V16" s="492"/>
      <c r="W16" s="49"/>
      <c r="X16" s="49"/>
      <c r="Y16" s="49"/>
      <c r="Z16" s="50"/>
    </row>
    <row r="17" ht="36.75" customHeight="1" spans="1:31">
      <c r="A17" s="53"/>
      <c r="B17" s="54" t="s">
        <v>45</v>
      </c>
      <c r="C17" s="585"/>
      <c r="D17" s="418"/>
      <c r="E17" s="418"/>
      <c r="F17" s="419"/>
      <c r="G17" s="633" t="s">
        <v>56</v>
      </c>
      <c r="H17" s="634" t="s">
        <v>57</v>
      </c>
      <c r="I17" s="424"/>
      <c r="J17" s="635"/>
      <c r="K17" s="636"/>
      <c r="L17" s="424"/>
      <c r="M17" s="637"/>
      <c r="N17" s="638"/>
      <c r="O17" s="639"/>
      <c r="P17" s="640"/>
      <c r="Q17" s="637"/>
      <c r="R17" s="637"/>
      <c r="S17" s="641" t="s">
        <v>58</v>
      </c>
      <c r="T17" s="383"/>
      <c r="U17" s="502"/>
      <c r="V17" s="503"/>
      <c r="W17" s="49"/>
      <c r="X17" s="49"/>
      <c r="Y17" s="49"/>
      <c r="Z17" s="50"/>
      <c r="AE17" s="156"/>
    </row>
    <row r="18" ht="42" customHeight="1" spans="1:31">
      <c r="A18" s="70">
        <v>6</v>
      </c>
      <c r="B18" s="33" t="s">
        <v>39</v>
      </c>
      <c r="C18" s="597"/>
      <c r="D18" s="433"/>
      <c r="E18" s="433"/>
      <c r="F18" s="434"/>
      <c r="G18" s="642"/>
      <c r="H18" s="643"/>
      <c r="I18" s="140" t="s">
        <v>59</v>
      </c>
      <c r="J18" s="644" t="s">
        <v>60</v>
      </c>
      <c r="K18" s="160" t="s">
        <v>61</v>
      </c>
      <c r="L18" s="411"/>
      <c r="M18" s="510"/>
      <c r="N18" s="511"/>
      <c r="O18" s="645"/>
      <c r="P18" s="646"/>
      <c r="Q18" s="647"/>
      <c r="R18" s="648"/>
      <c r="S18" s="649"/>
      <c r="T18" s="650" t="s">
        <v>62</v>
      </c>
      <c r="U18" s="446"/>
      <c r="V18" s="446"/>
      <c r="W18" s="49"/>
      <c r="X18" s="49"/>
      <c r="Y18" s="49"/>
      <c r="Z18" s="50"/>
    </row>
    <row r="19" ht="38.25" customHeight="1" spans="1:31">
      <c r="A19" s="27"/>
      <c r="B19" s="168" t="s">
        <v>45</v>
      </c>
      <c r="C19" s="651"/>
      <c r="D19" s="652"/>
      <c r="E19" s="653"/>
      <c r="F19" s="654"/>
      <c r="G19" s="655"/>
      <c r="H19" s="656"/>
      <c r="I19" s="657"/>
      <c r="J19" s="658"/>
      <c r="K19" s="174"/>
      <c r="L19" s="659"/>
      <c r="M19" s="660" t="s">
        <v>63</v>
      </c>
      <c r="N19" s="661"/>
      <c r="O19" s="662"/>
      <c r="P19" s="663"/>
      <c r="Q19" s="664"/>
      <c r="R19" s="661"/>
      <c r="S19" s="665"/>
      <c r="T19" s="666"/>
      <c r="U19" s="667"/>
      <c r="V19" s="668" t="s">
        <v>64</v>
      </c>
      <c r="W19" s="186"/>
      <c r="X19" s="186"/>
      <c r="Y19" s="186"/>
      <c r="Z19" s="187"/>
    </row>
    <row r="20" ht="23.25" hidden="1" customHeight="1" spans="1:31">
      <c r="A20" s="188"/>
      <c r="B20" s="189"/>
      <c r="C20" s="190"/>
      <c r="D20" s="190"/>
      <c r="E20" s="190"/>
      <c r="F20" s="190"/>
      <c r="G20" s="190"/>
      <c r="H20" s="190"/>
      <c r="I20" s="191"/>
      <c r="J20" s="192"/>
      <c r="K20" s="190"/>
      <c r="L20" s="190"/>
      <c r="M20" s="190"/>
      <c r="N20" s="190"/>
      <c r="O20" s="190"/>
      <c r="P20" s="190"/>
      <c r="Q20" s="192"/>
      <c r="R20" s="190"/>
      <c r="S20" s="190"/>
      <c r="T20" s="190"/>
      <c r="U20" s="190"/>
      <c r="V20" s="190"/>
      <c r="W20" s="192"/>
      <c r="X20" s="190"/>
      <c r="Y20" s="190"/>
      <c r="Z20" s="193"/>
    </row>
    <row r="21" ht="18.75" spans="1:31">
      <c r="A21" s="669"/>
      <c r="B21" s="670"/>
      <c r="C21" s="670"/>
      <c r="D21" s="671"/>
      <c r="E21" s="670"/>
      <c r="F21" s="670"/>
      <c r="G21" s="670"/>
      <c r="H21" s="670"/>
      <c r="I21" s="670"/>
      <c r="J21" s="670"/>
      <c r="K21" s="670"/>
      <c r="L21" s="670"/>
      <c r="M21" s="670"/>
      <c r="N21" s="670"/>
      <c r="O21" s="670"/>
      <c r="P21" s="670"/>
      <c r="Q21" s="670"/>
      <c r="R21" s="670"/>
      <c r="S21" s="670"/>
      <c r="T21" s="670"/>
      <c r="U21" s="670"/>
      <c r="V21" s="670"/>
      <c r="W21" s="670"/>
      <c r="X21" s="670"/>
      <c r="Y21" s="670"/>
      <c r="Z21" s="672"/>
    </row>
    <row r="22" s="1" customFormat="1" ht="29.25" customHeight="1" spans="1:31">
      <c r="A22" s="198" t="s">
        <v>65</v>
      </c>
      <c r="B22" s="199"/>
      <c r="C22" s="200" t="s">
        <v>66</v>
      </c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1"/>
      <c r="AA22" s="202"/>
      <c r="AB22" s="203"/>
      <c r="AC22" s="204"/>
      <c r="AD22" s="156"/>
      <c r="AE22" s="156"/>
    </row>
    <row r="23" s="1" customFormat="1" ht="13.5" customHeight="1" spans="1:31">
      <c r="A23" s="673"/>
      <c r="B23" s="674"/>
      <c r="C23" s="675"/>
      <c r="D23" s="675"/>
      <c r="E23" s="675"/>
      <c r="F23" s="675"/>
      <c r="G23" s="675"/>
      <c r="H23" s="675"/>
      <c r="I23" s="675"/>
      <c r="J23" s="675"/>
      <c r="K23" s="675"/>
      <c r="L23" s="675"/>
      <c r="M23" s="675"/>
      <c r="N23" s="675"/>
      <c r="O23" s="675"/>
      <c r="P23" s="675"/>
      <c r="Q23" s="675"/>
      <c r="R23" s="675"/>
      <c r="S23" s="676"/>
      <c r="T23" s="677"/>
      <c r="U23" s="675"/>
      <c r="V23" s="675"/>
      <c r="W23" s="676"/>
      <c r="X23" s="675"/>
      <c r="Y23" s="677"/>
      <c r="Z23" s="678"/>
      <c r="AA23" s="207"/>
      <c r="AB23" s="203"/>
      <c r="AC23" s="204"/>
      <c r="AD23" s="156"/>
      <c r="AE23" s="156"/>
    </row>
    <row r="24" customFormat="1" ht="25.5" customHeight="1" spans="1:31">
      <c r="A24" s="211" t="s">
        <v>67</v>
      </c>
      <c r="B24" s="212" t="s">
        <v>68</v>
      </c>
      <c r="C24" s="213"/>
      <c r="D24" s="214"/>
      <c r="E24" s="215" t="s">
        <v>69</v>
      </c>
      <c r="F24" s="216" t="s">
        <v>70</v>
      </c>
      <c r="G24" s="217" t="s">
        <v>71</v>
      </c>
      <c r="H24" s="217"/>
      <c r="I24" s="217"/>
      <c r="J24" s="217"/>
      <c r="K24" s="218" t="s">
        <v>72</v>
      </c>
      <c r="L24" s="219"/>
      <c r="M24" s="220" t="s">
        <v>73</v>
      </c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2"/>
      <c r="Z24" s="223"/>
      <c r="AA24" s="196"/>
      <c r="AB24" s="2"/>
      <c r="AC24" s="2"/>
      <c r="AD24" s="156"/>
      <c r="AE24" s="2"/>
    </row>
    <row r="25" customFormat="1" ht="25.5" customHeight="1" spans="1:31">
      <c r="A25" s="224"/>
      <c r="B25" s="225"/>
      <c r="C25" s="226"/>
      <c r="D25" s="227"/>
      <c r="E25" s="228"/>
      <c r="F25" s="229"/>
      <c r="G25" s="230" t="s">
        <v>55</v>
      </c>
      <c r="H25" s="230" t="s">
        <v>43</v>
      </c>
      <c r="I25" s="230" t="s">
        <v>74</v>
      </c>
      <c r="J25" s="229" t="s">
        <v>75</v>
      </c>
      <c r="K25" s="218"/>
      <c r="L25" s="231"/>
      <c r="M25" s="232"/>
      <c r="N25" s="233" t="s">
        <v>76</v>
      </c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34"/>
      <c r="AA25" s="196"/>
      <c r="AB25" s="2"/>
      <c r="AC25" s="2"/>
      <c r="AD25" s="2"/>
      <c r="AE25" s="2"/>
    </row>
    <row r="26" customFormat="1" ht="23.1" customHeight="1" spans="1:31">
      <c r="A26" s="235" t="s">
        <v>77</v>
      </c>
      <c r="B26" s="236" t="s">
        <v>78</v>
      </c>
      <c r="C26" s="237"/>
      <c r="D26" s="238"/>
      <c r="E26" s="239" t="s">
        <v>79</v>
      </c>
      <c r="F26" s="239">
        <v>3</v>
      </c>
      <c r="G26" s="239">
        <v>21</v>
      </c>
      <c r="H26" s="239">
        <v>64</v>
      </c>
      <c r="I26" s="239">
        <v>3</v>
      </c>
      <c r="J26" s="240">
        <f t="shared" ref="J26:J36" si="0">SUM(G26:I26)</f>
        <v>88</v>
      </c>
      <c r="K26" s="241"/>
      <c r="L26" s="242"/>
      <c r="M26" s="243"/>
      <c r="N26" s="244"/>
      <c r="O26" s="245"/>
      <c r="P26" s="246"/>
      <c r="Q26" s="232"/>
      <c r="R26" s="246"/>
      <c r="S26" s="246"/>
      <c r="T26" s="195"/>
      <c r="U26" s="195"/>
      <c r="V26" s="195"/>
      <c r="W26" s="195"/>
      <c r="X26" s="195"/>
      <c r="Y26" s="195"/>
      <c r="Z26" s="197"/>
      <c r="AA26" s="247"/>
      <c r="AB26" s="2"/>
      <c r="AC26" s="2"/>
      <c r="AD26" s="2"/>
      <c r="AE26" s="2"/>
    </row>
    <row r="27" customFormat="1" ht="23.1" customHeight="1" spans="1:31">
      <c r="A27" s="533" t="s">
        <v>80</v>
      </c>
      <c r="B27" s="534" t="s">
        <v>81</v>
      </c>
      <c r="C27" s="535"/>
      <c r="D27" s="536"/>
      <c r="E27" s="537" t="s">
        <v>82</v>
      </c>
      <c r="F27" s="537">
        <v>2</v>
      </c>
      <c r="G27" s="537">
        <v>42</v>
      </c>
      <c r="H27" s="537">
        <v>3</v>
      </c>
      <c r="I27" s="537">
        <v>1</v>
      </c>
      <c r="J27" s="538">
        <f t="shared" si="0"/>
        <v>46</v>
      </c>
      <c r="K27" s="539"/>
      <c r="L27" s="242"/>
      <c r="M27" s="243"/>
      <c r="N27" s="244"/>
      <c r="O27" s="245"/>
      <c r="P27" s="246"/>
      <c r="Q27" s="232"/>
      <c r="R27" s="246"/>
      <c r="S27" s="246"/>
      <c r="T27" s="195"/>
      <c r="U27" s="195"/>
      <c r="V27" s="195"/>
      <c r="W27" s="195"/>
      <c r="X27" s="249" t="s">
        <v>83</v>
      </c>
      <c r="Y27" s="195"/>
      <c r="Z27" s="197"/>
      <c r="AA27" s="247"/>
      <c r="AB27" s="2"/>
      <c r="AC27" s="2"/>
      <c r="AD27" s="2"/>
      <c r="AE27" s="2"/>
    </row>
    <row r="28" customFormat="1" ht="23.1" customHeight="1" spans="1:31">
      <c r="A28" s="540" t="s">
        <v>84</v>
      </c>
      <c r="B28" s="541" t="s">
        <v>85</v>
      </c>
      <c r="C28" s="542"/>
      <c r="D28" s="543"/>
      <c r="E28" s="544" t="s">
        <v>86</v>
      </c>
      <c r="F28" s="544">
        <v>2</v>
      </c>
      <c r="G28" s="544">
        <v>18</v>
      </c>
      <c r="H28" s="544">
        <v>10</v>
      </c>
      <c r="I28" s="544">
        <v>2</v>
      </c>
      <c r="J28" s="545">
        <f t="shared" si="0"/>
        <v>30</v>
      </c>
      <c r="K28" s="546"/>
      <c r="L28" s="257" t="s">
        <v>87</v>
      </c>
      <c r="M28" s="258"/>
      <c r="N28" s="258"/>
      <c r="O28" s="258"/>
      <c r="P28" s="258"/>
      <c r="Q28" s="259"/>
      <c r="R28" s="246"/>
      <c r="S28" s="258" t="s">
        <v>88</v>
      </c>
      <c r="T28" s="196"/>
      <c r="U28" s="195"/>
      <c r="V28" s="195"/>
      <c r="W28" s="195"/>
      <c r="X28" s="232" t="s">
        <v>89</v>
      </c>
      <c r="Y28" s="195"/>
      <c r="Z28" s="197"/>
      <c r="AA28" s="247"/>
      <c r="AB28" s="2"/>
      <c r="AC28" s="2"/>
      <c r="AD28" s="2"/>
      <c r="AE28" s="2"/>
    </row>
    <row r="29" customFormat="1" ht="23.1" customHeight="1" spans="1:31">
      <c r="A29" s="547" t="s">
        <v>90</v>
      </c>
      <c r="B29" s="548" t="s">
        <v>91</v>
      </c>
      <c r="C29" s="549"/>
      <c r="D29" s="550"/>
      <c r="E29" s="551" t="s">
        <v>92</v>
      </c>
      <c r="F29" s="551">
        <v>2</v>
      </c>
      <c r="G29" s="551">
        <v>2</v>
      </c>
      <c r="H29" s="552">
        <v>54</v>
      </c>
      <c r="I29" s="552">
        <v>4</v>
      </c>
      <c r="J29" s="553">
        <f t="shared" si="0"/>
        <v>60</v>
      </c>
      <c r="K29" s="554"/>
      <c r="L29" s="242"/>
      <c r="M29" s="195"/>
      <c r="N29" s="258"/>
      <c r="O29" s="196"/>
      <c r="P29" s="246"/>
      <c r="Q29" s="232"/>
      <c r="R29" s="246"/>
      <c r="S29" s="258" t="s">
        <v>93</v>
      </c>
      <c r="T29" s="196"/>
      <c r="U29" s="195"/>
      <c r="V29" s="195"/>
      <c r="W29" s="195"/>
      <c r="X29" s="232" t="s">
        <v>94</v>
      </c>
      <c r="Y29" s="195"/>
      <c r="Z29" s="197"/>
      <c r="AA29" s="247"/>
      <c r="AB29" s="2"/>
      <c r="AC29" s="2"/>
      <c r="AD29" s="2"/>
      <c r="AE29" s="2"/>
    </row>
    <row r="30" customFormat="1" ht="23.1" customHeight="1" spans="1:31">
      <c r="A30" s="555" t="s">
        <v>95</v>
      </c>
      <c r="B30" s="556" t="s">
        <v>96</v>
      </c>
      <c r="C30" s="557"/>
      <c r="D30" s="558"/>
      <c r="E30" s="559" t="s">
        <v>92</v>
      </c>
      <c r="F30" s="559">
        <v>3</v>
      </c>
      <c r="G30" s="559">
        <v>34</v>
      </c>
      <c r="H30" s="559">
        <v>37</v>
      </c>
      <c r="I30" s="559">
        <v>4</v>
      </c>
      <c r="J30" s="560">
        <f t="shared" si="0"/>
        <v>75</v>
      </c>
      <c r="K30" s="561"/>
      <c r="L30" s="242"/>
      <c r="M30" s="195"/>
      <c r="N30" s="268"/>
      <c r="O30" s="196"/>
      <c r="P30" s="246"/>
      <c r="Q30" s="232"/>
      <c r="R30" s="246"/>
      <c r="S30" s="232"/>
      <c r="T30" s="196"/>
      <c r="U30" s="195"/>
      <c r="V30" s="195"/>
      <c r="W30" s="195"/>
      <c r="X30" s="196"/>
      <c r="Y30" s="195"/>
      <c r="Z30" s="197"/>
      <c r="AA30" s="247"/>
      <c r="AB30" s="2"/>
      <c r="AC30" s="2"/>
      <c r="AD30" s="2"/>
      <c r="AE30" s="2"/>
    </row>
    <row r="31" customFormat="1" ht="23.1" customHeight="1" spans="1:31">
      <c r="A31" s="278" t="s">
        <v>97</v>
      </c>
      <c r="B31" s="279" t="s">
        <v>98</v>
      </c>
      <c r="C31" s="280"/>
      <c r="D31" s="281"/>
      <c r="E31" s="282" t="s">
        <v>82</v>
      </c>
      <c r="F31" s="282">
        <v>2</v>
      </c>
      <c r="G31" s="282">
        <v>40</v>
      </c>
      <c r="H31" s="282">
        <v>15</v>
      </c>
      <c r="I31" s="282">
        <v>3</v>
      </c>
      <c r="J31" s="562">
        <f t="shared" si="0"/>
        <v>58</v>
      </c>
      <c r="K31" s="284"/>
      <c r="L31" s="242"/>
      <c r="M31" s="195"/>
      <c r="N31" s="195"/>
      <c r="O31" s="195"/>
      <c r="P31" s="195"/>
      <c r="Q31" s="195"/>
      <c r="R31" s="195"/>
      <c r="S31" s="277"/>
      <c r="T31" s="196"/>
      <c r="U31" s="195"/>
      <c r="V31" s="195"/>
      <c r="W31" s="195"/>
      <c r="X31" s="268"/>
      <c r="Y31" s="195"/>
      <c r="Z31" s="197"/>
      <c r="AA31" s="249"/>
      <c r="AB31" s="2"/>
      <c r="AC31" s="2"/>
      <c r="AD31" s="2"/>
      <c r="AE31" s="2"/>
    </row>
    <row r="32" customFormat="1" ht="23.1" customHeight="1" spans="1:31">
      <c r="A32" s="285" t="s">
        <v>99</v>
      </c>
      <c r="B32" s="286" t="s">
        <v>100</v>
      </c>
      <c r="C32" s="287"/>
      <c r="D32" s="288"/>
      <c r="E32" s="289" t="s">
        <v>82</v>
      </c>
      <c r="F32" s="289">
        <v>1</v>
      </c>
      <c r="G32" s="289">
        <v>25</v>
      </c>
      <c r="H32" s="289">
        <v>0</v>
      </c>
      <c r="I32" s="289">
        <v>2</v>
      </c>
      <c r="J32" s="290">
        <f t="shared" si="0"/>
        <v>27</v>
      </c>
      <c r="K32" s="291"/>
      <c r="L32" s="242"/>
      <c r="M32" s="195"/>
      <c r="N32" s="195"/>
      <c r="O32" s="196"/>
      <c r="P32" s="195"/>
      <c r="Q32" s="268"/>
      <c r="R32" s="258"/>
      <c r="S32" s="195"/>
      <c r="T32" s="196"/>
      <c r="U32" s="258"/>
      <c r="V32" s="258"/>
      <c r="W32" s="268"/>
      <c r="X32" s="196"/>
      <c r="Y32" s="249"/>
      <c r="Z32" s="197"/>
      <c r="AA32" s="232"/>
      <c r="AB32" s="2"/>
      <c r="AC32" s="2"/>
      <c r="AD32" s="2"/>
      <c r="AE32" s="2"/>
    </row>
    <row r="33" customFormat="1" ht="23.1" customHeight="1" spans="1:31">
      <c r="A33" s="260" t="s">
        <v>101</v>
      </c>
      <c r="B33" s="261" t="s">
        <v>102</v>
      </c>
      <c r="C33" s="262"/>
      <c r="D33" s="263"/>
      <c r="E33" s="264" t="s">
        <v>86</v>
      </c>
      <c r="F33" s="264">
        <v>1</v>
      </c>
      <c r="G33" s="264">
        <v>15</v>
      </c>
      <c r="H33" s="264">
        <v>4</v>
      </c>
      <c r="I33" s="264">
        <v>3</v>
      </c>
      <c r="J33" s="266">
        <f t="shared" si="0"/>
        <v>22</v>
      </c>
      <c r="K33" s="293"/>
      <c r="L33" s="242"/>
      <c r="M33" s="268"/>
      <c r="N33" s="195"/>
      <c r="O33" s="258"/>
      <c r="P33" s="258"/>
      <c r="Q33" s="268"/>
      <c r="R33" s="232"/>
      <c r="S33" s="195"/>
      <c r="T33" s="196"/>
      <c r="U33" s="232"/>
      <c r="V33" s="232"/>
      <c r="W33" s="268"/>
      <c r="X33" s="196"/>
      <c r="Y33" s="232"/>
      <c r="Z33" s="197"/>
      <c r="AA33" s="232"/>
      <c r="AB33" s="2"/>
      <c r="AC33" s="2"/>
      <c r="AD33" s="2"/>
      <c r="AE33" s="2"/>
    </row>
    <row r="34" customFormat="1" ht="22.5" spans="1:31">
      <c r="A34" s="269" t="s">
        <v>103</v>
      </c>
      <c r="B34" s="270" t="s">
        <v>104</v>
      </c>
      <c r="C34" s="271"/>
      <c r="D34" s="272"/>
      <c r="E34" s="273" t="s">
        <v>82</v>
      </c>
      <c r="F34" s="274">
        <v>2</v>
      </c>
      <c r="G34" s="274">
        <v>30</v>
      </c>
      <c r="H34" s="294">
        <v>15</v>
      </c>
      <c r="I34" s="274">
        <v>10</v>
      </c>
      <c r="J34" s="275">
        <f t="shared" si="0"/>
        <v>55</v>
      </c>
      <c r="K34" s="276"/>
      <c r="L34" s="257" t="s">
        <v>105</v>
      </c>
      <c r="M34" s="258"/>
      <c r="N34" s="258"/>
      <c r="O34" s="258"/>
      <c r="P34" s="258"/>
      <c r="Q34" s="259"/>
      <c r="R34" s="195"/>
      <c r="S34" s="258" t="s">
        <v>106</v>
      </c>
      <c r="T34" s="196"/>
      <c r="U34" s="195"/>
      <c r="V34" s="195"/>
      <c r="W34" s="195"/>
      <c r="X34" s="258" t="s">
        <v>107</v>
      </c>
      <c r="Y34" s="195"/>
      <c r="Z34" s="197"/>
      <c r="AA34" s="196"/>
      <c r="AB34" s="2"/>
      <c r="AC34" s="2"/>
      <c r="AD34" s="2"/>
      <c r="AE34" s="2"/>
    </row>
    <row r="35" customFormat="1" ht="22.5" spans="1:31">
      <c r="A35" s="679" t="s">
        <v>108</v>
      </c>
      <c r="B35" s="680" t="s">
        <v>109</v>
      </c>
      <c r="C35" s="680"/>
      <c r="D35" s="680"/>
      <c r="E35" s="681" t="s">
        <v>82</v>
      </c>
      <c r="F35" s="682">
        <v>2</v>
      </c>
      <c r="G35" s="682">
        <v>40</v>
      </c>
      <c r="H35" s="683">
        <v>9</v>
      </c>
      <c r="I35" s="682">
        <v>3</v>
      </c>
      <c r="J35" s="684">
        <f t="shared" si="0"/>
        <v>52</v>
      </c>
      <c r="K35" s="685"/>
      <c r="L35" s="257"/>
      <c r="M35" s="258"/>
      <c r="N35" s="258"/>
      <c r="O35" s="258"/>
      <c r="P35" s="258"/>
      <c r="Q35" s="259"/>
      <c r="R35" s="195"/>
      <c r="S35" s="258"/>
      <c r="T35" s="196"/>
      <c r="U35" s="195"/>
      <c r="V35" s="195"/>
      <c r="W35" s="195"/>
      <c r="X35" s="258"/>
      <c r="Y35" s="195"/>
      <c r="Z35" s="197"/>
      <c r="AA35" s="196"/>
      <c r="AB35" s="2"/>
      <c r="AC35" s="2"/>
      <c r="AD35" s="2"/>
      <c r="AE35" s="2"/>
    </row>
    <row r="36" customFormat="1" ht="22.5" spans="1:31">
      <c r="A36" s="686" t="s">
        <v>110</v>
      </c>
      <c r="B36" s="687" t="s">
        <v>111</v>
      </c>
      <c r="C36" s="687"/>
      <c r="D36" s="687"/>
      <c r="E36" s="688" t="s">
        <v>79</v>
      </c>
      <c r="F36" s="689">
        <v>1</v>
      </c>
      <c r="G36" s="689">
        <v>10</v>
      </c>
      <c r="H36" s="690">
        <v>16</v>
      </c>
      <c r="I36" s="689">
        <v>1</v>
      </c>
      <c r="J36" s="691">
        <f t="shared" si="0"/>
        <v>27</v>
      </c>
      <c r="K36" s="692"/>
      <c r="L36" s="257"/>
      <c r="M36" s="258"/>
      <c r="N36" s="258"/>
      <c r="O36" s="258"/>
      <c r="P36" s="258"/>
      <c r="Q36" s="259"/>
      <c r="R36" s="195"/>
      <c r="S36" s="258"/>
      <c r="T36" s="196"/>
      <c r="U36" s="195"/>
      <c r="V36" s="195"/>
      <c r="W36" s="195"/>
      <c r="X36" s="258"/>
      <c r="Y36" s="195"/>
      <c r="Z36" s="197"/>
      <c r="AA36" s="196"/>
      <c r="AB36" s="2"/>
      <c r="AC36" s="2"/>
      <c r="AD36" s="2"/>
      <c r="AE36" s="2"/>
    </row>
    <row r="37" customFormat="1" ht="23.1" customHeight="1" spans="1:31">
      <c r="A37" s="305" t="s">
        <v>112</v>
      </c>
      <c r="B37" s="306"/>
      <c r="C37" s="306"/>
      <c r="D37" s="306"/>
      <c r="E37" s="307"/>
      <c r="F37" s="308">
        <f>SUM(F26:F34)</f>
        <v>18</v>
      </c>
      <c r="G37" s="308">
        <f>SUM(G26:G34)</f>
        <v>227</v>
      </c>
      <c r="H37" s="308">
        <f>SUM(H26:H34)</f>
        <v>202</v>
      </c>
      <c r="I37" s="308">
        <f>SUM(I26:I34)</f>
        <v>32</v>
      </c>
      <c r="J37" s="308">
        <f>SUM(J26:J34)</f>
        <v>461</v>
      </c>
      <c r="K37" s="309"/>
      <c r="L37" s="693"/>
      <c r="M37" s="694"/>
      <c r="N37" s="694"/>
      <c r="O37" s="694"/>
      <c r="P37" s="694"/>
      <c r="Q37" s="695"/>
      <c r="R37" s="190"/>
      <c r="S37" s="694"/>
      <c r="T37" s="189"/>
      <c r="U37" s="190"/>
      <c r="V37" s="190"/>
      <c r="W37" s="190"/>
      <c r="X37" s="694"/>
      <c r="Y37" s="190"/>
      <c r="Z37" s="193"/>
      <c r="AA37" s="196"/>
      <c r="AB37" s="2"/>
      <c r="AC37" s="2"/>
      <c r="AD37" s="2"/>
      <c r="AE37" s="2"/>
    </row>
    <row r="38" customFormat="1" ht="22.5" spans="1:31">
      <c r="A38" s="196"/>
      <c r="B38" s="196"/>
      <c r="C38" s="196"/>
      <c r="D38" s="196"/>
      <c r="E38" s="196"/>
      <c r="F38" s="196"/>
      <c r="G38" s="196"/>
      <c r="H38" s="196"/>
      <c r="I38" s="195"/>
      <c r="J38" s="246"/>
      <c r="K38" s="196"/>
      <c r="L38" s="195"/>
      <c r="M38" s="195"/>
      <c r="O38" s="196"/>
      <c r="P38" s="195"/>
      <c r="Q38" s="195"/>
      <c r="R38" s="195"/>
      <c r="S38" s="195"/>
      <c r="U38" s="196"/>
      <c r="V38" s="196"/>
      <c r="W38" s="196"/>
      <c r="X38" s="196"/>
      <c r="Y38" s="196"/>
      <c r="AA38" s="196"/>
      <c r="AB38" s="2"/>
      <c r="AC38" s="2"/>
      <c r="AD38" s="2"/>
      <c r="AE38" s="2"/>
    </row>
    <row r="39" ht="18.75" spans="1:31">
      <c r="A39" s="312"/>
      <c r="B39" s="312"/>
      <c r="C39" s="312"/>
      <c r="D39" s="312"/>
      <c r="E39" s="312"/>
      <c r="F39" s="312"/>
      <c r="G39" s="312"/>
      <c r="H39" s="312"/>
      <c r="I39" s="312"/>
      <c r="J39" s="312"/>
      <c r="K39" s="312"/>
      <c r="L39" s="312"/>
      <c r="M39" s="312"/>
      <c r="N39" s="312"/>
      <c r="O39" s="312"/>
      <c r="P39" s="312"/>
      <c r="Q39" s="312"/>
      <c r="R39" s="312"/>
      <c r="S39" s="312"/>
      <c r="T39" s="312"/>
      <c r="U39" s="312"/>
      <c r="V39" s="312"/>
      <c r="W39" s="312"/>
      <c r="X39" s="312"/>
      <c r="Y39" s="312"/>
    </row>
    <row r="40" ht="18.75" spans="1:31">
      <c r="A40" s="312"/>
      <c r="B40" s="312"/>
      <c r="C40" s="312"/>
      <c r="D40" s="312"/>
      <c r="E40" s="312"/>
      <c r="F40" s="312"/>
      <c r="G40" s="312"/>
      <c r="H40" s="312"/>
      <c r="I40" s="312"/>
      <c r="J40" s="312"/>
      <c r="K40" s="312"/>
      <c r="L40" s="312"/>
      <c r="M40" s="312"/>
      <c r="N40" s="312"/>
      <c r="O40" s="312"/>
      <c r="P40" s="312"/>
      <c r="Q40" s="312"/>
      <c r="R40" s="312"/>
      <c r="S40" s="312"/>
      <c r="T40" s="312"/>
      <c r="U40" s="312"/>
      <c r="V40" s="312"/>
      <c r="W40" s="312"/>
      <c r="X40" s="312"/>
      <c r="Y40" s="312"/>
    </row>
    <row r="41" ht="18.75" spans="1:31">
      <c r="A41" s="312"/>
      <c r="B41" s="312"/>
      <c r="C41" s="312"/>
      <c r="D41" s="312"/>
      <c r="E41" s="312"/>
      <c r="F41" s="312"/>
      <c r="G41" s="312"/>
      <c r="H41" s="312"/>
      <c r="I41" s="312"/>
      <c r="J41" s="312"/>
      <c r="K41" s="312"/>
      <c r="L41" s="312"/>
      <c r="M41" s="312"/>
      <c r="N41" s="312"/>
      <c r="O41" s="312"/>
      <c r="P41" s="312"/>
      <c r="Q41" s="312"/>
      <c r="R41" s="312"/>
      <c r="S41" s="312"/>
      <c r="T41" s="312"/>
      <c r="U41" s="312"/>
      <c r="V41" s="312"/>
      <c r="W41" s="312"/>
      <c r="X41" s="312"/>
      <c r="Y41" s="312"/>
    </row>
    <row r="42" ht="18.75" spans="1:31">
      <c r="A42" s="312"/>
      <c r="B42" s="312"/>
      <c r="C42" s="312"/>
      <c r="D42" s="312"/>
      <c r="E42" s="312"/>
      <c r="F42" s="312"/>
      <c r="G42" s="312"/>
      <c r="H42" s="312"/>
      <c r="I42" s="312"/>
      <c r="J42" s="312"/>
      <c r="K42" s="312"/>
      <c r="L42" s="312"/>
      <c r="M42" s="312"/>
      <c r="N42" s="312"/>
      <c r="O42" s="312"/>
      <c r="P42" s="312"/>
      <c r="Q42" s="312"/>
      <c r="R42" s="312"/>
      <c r="S42" s="312"/>
      <c r="T42" s="312"/>
      <c r="U42" s="312"/>
      <c r="V42" s="312"/>
      <c r="W42" s="312"/>
      <c r="X42" s="312"/>
      <c r="Y42" s="312"/>
    </row>
    <row r="43" ht="18.75" spans="1:31">
      <c r="A43" s="312"/>
      <c r="B43" s="312"/>
      <c r="C43" s="312"/>
      <c r="D43" s="312"/>
      <c r="E43" s="312"/>
      <c r="F43" s="312"/>
      <c r="G43" s="312"/>
      <c r="H43" s="312"/>
      <c r="I43" s="312"/>
      <c r="J43" s="312"/>
      <c r="K43" s="312"/>
      <c r="L43" s="312"/>
      <c r="M43" s="312"/>
      <c r="N43" s="312"/>
      <c r="O43" s="312"/>
      <c r="P43" s="312"/>
      <c r="Q43" s="312"/>
      <c r="R43" s="312"/>
      <c r="S43" s="312"/>
      <c r="T43" s="312"/>
      <c r="U43" s="312"/>
      <c r="V43" s="312"/>
      <c r="W43" s="312"/>
      <c r="X43" s="312"/>
      <c r="Y43" s="312"/>
    </row>
    <row r="44" ht="18.75" spans="1:31">
      <c r="A44" s="312"/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M44" s="312"/>
      <c r="N44" s="312"/>
      <c r="O44" s="312"/>
      <c r="P44" s="312"/>
      <c r="Q44" s="312"/>
      <c r="R44" s="312"/>
      <c r="S44" s="312"/>
      <c r="T44" s="312"/>
      <c r="U44" s="312"/>
      <c r="V44" s="312"/>
      <c r="W44" s="312"/>
      <c r="X44" s="312"/>
      <c r="Y44" s="312"/>
    </row>
    <row r="45" ht="18.75" spans="1:31">
      <c r="A45" s="312"/>
      <c r="B45" s="312"/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M45" s="312"/>
      <c r="N45" s="312"/>
      <c r="O45" s="312"/>
      <c r="P45" s="312"/>
      <c r="Q45" s="313"/>
      <c r="R45" s="312"/>
      <c r="S45" s="312"/>
      <c r="T45" s="312"/>
      <c r="U45" s="312"/>
      <c r="V45" s="312"/>
      <c r="W45" s="312"/>
      <c r="X45" s="312"/>
      <c r="Y45" s="312"/>
    </row>
    <row r="46" ht="18.75" spans="1:31">
      <c r="A46" s="312"/>
      <c r="B46" s="312"/>
      <c r="C46" s="312"/>
      <c r="D46" s="312"/>
      <c r="E46" s="312"/>
      <c r="F46" s="312"/>
      <c r="G46" s="312"/>
      <c r="H46" s="312"/>
      <c r="I46" s="312"/>
      <c r="J46" s="312"/>
      <c r="K46" s="312"/>
      <c r="L46" s="312"/>
      <c r="M46" s="312"/>
      <c r="N46" s="312"/>
      <c r="O46" s="312"/>
      <c r="P46" s="312"/>
      <c r="Q46" s="312"/>
      <c r="R46" s="312"/>
      <c r="S46" s="312"/>
      <c r="T46" s="312"/>
      <c r="U46" s="312"/>
      <c r="V46" s="312"/>
      <c r="W46" s="312"/>
      <c r="X46" s="312"/>
      <c r="Y46" s="312"/>
    </row>
    <row r="47" ht="18.75" spans="1:31">
      <c r="A47" s="312"/>
      <c r="B47" s="312"/>
      <c r="C47" s="312"/>
      <c r="D47" s="312"/>
      <c r="E47" s="312"/>
      <c r="F47" s="312"/>
      <c r="G47" s="312"/>
      <c r="H47" s="312"/>
      <c r="I47" s="312"/>
      <c r="J47" s="312"/>
      <c r="K47" s="312"/>
      <c r="L47" s="312"/>
      <c r="M47" s="312"/>
      <c r="N47" s="312"/>
      <c r="O47" s="312"/>
      <c r="P47" s="312"/>
      <c r="Q47" s="312"/>
      <c r="R47" s="312"/>
      <c r="S47" s="312"/>
      <c r="T47" s="312"/>
      <c r="U47" s="312"/>
      <c r="V47" s="312"/>
      <c r="W47" s="312"/>
      <c r="X47" s="312"/>
      <c r="Y47" s="312"/>
    </row>
    <row r="48" ht="18.75" spans="1:31">
      <c r="A48" s="312"/>
      <c r="B48" s="312"/>
      <c r="C48" s="312"/>
      <c r="D48" s="312"/>
      <c r="E48" s="312"/>
      <c r="F48" s="312"/>
      <c r="G48" s="312"/>
      <c r="H48" s="312"/>
      <c r="I48" s="312"/>
      <c r="J48" s="312"/>
      <c r="K48" s="312"/>
      <c r="L48" s="312"/>
      <c r="M48" s="312"/>
      <c r="N48" s="312"/>
      <c r="O48" s="312"/>
      <c r="P48" s="312"/>
      <c r="Q48" s="312"/>
      <c r="R48" s="312"/>
      <c r="S48" s="312"/>
      <c r="T48" s="312"/>
      <c r="U48" s="312"/>
      <c r="V48" s="312"/>
      <c r="W48" s="312"/>
      <c r="X48" s="312"/>
      <c r="Y48" s="312"/>
    </row>
    <row r="49" ht="18.75" spans="1:25">
      <c r="A49" s="312"/>
      <c r="B49" s="312"/>
      <c r="C49" s="312"/>
      <c r="D49" s="312"/>
      <c r="E49" s="312"/>
      <c r="F49" s="312"/>
      <c r="G49" s="312"/>
      <c r="H49" s="312"/>
      <c r="I49" s="312"/>
      <c r="J49" s="312"/>
      <c r="K49" s="312"/>
      <c r="L49" s="312"/>
      <c r="M49" s="312"/>
      <c r="N49" s="312"/>
      <c r="O49" s="312"/>
      <c r="P49" s="312"/>
      <c r="Q49" s="312"/>
      <c r="R49" s="312"/>
      <c r="S49" s="312"/>
      <c r="T49" s="312"/>
      <c r="U49" s="312"/>
      <c r="V49" s="312"/>
      <c r="W49" s="312"/>
      <c r="X49" s="312"/>
      <c r="Y49" s="312"/>
    </row>
    <row r="50" ht="18.75" spans="1:25">
      <c r="A50" s="312"/>
      <c r="B50" s="312"/>
      <c r="C50" s="312"/>
      <c r="D50" s="312"/>
      <c r="E50" s="312"/>
      <c r="F50" s="312"/>
      <c r="G50" s="312"/>
      <c r="H50" s="312"/>
      <c r="I50" s="312"/>
      <c r="J50" s="312"/>
      <c r="K50" s="312"/>
      <c r="L50" s="312"/>
      <c r="M50" s="312"/>
      <c r="N50" s="312"/>
      <c r="O50" s="312"/>
      <c r="P50" s="312"/>
      <c r="Q50" s="312"/>
      <c r="R50" s="312"/>
      <c r="S50" s="312"/>
      <c r="T50" s="312"/>
      <c r="U50" s="312"/>
      <c r="V50" s="312"/>
      <c r="W50" s="312"/>
      <c r="X50" s="312"/>
      <c r="Y50" s="312"/>
    </row>
    <row r="51" ht="18.75" spans="1:25">
      <c r="A51" s="312"/>
      <c r="B51" s="312"/>
      <c r="C51" s="312"/>
      <c r="D51" s="312"/>
      <c r="E51" s="312"/>
      <c r="F51" s="312"/>
      <c r="G51" s="312"/>
      <c r="H51" s="312"/>
      <c r="I51" s="312"/>
      <c r="J51" s="312"/>
      <c r="K51" s="312"/>
      <c r="L51" s="312"/>
      <c r="M51" s="312"/>
      <c r="N51" s="312"/>
      <c r="O51" s="312"/>
      <c r="P51" s="312"/>
      <c r="Q51" s="312"/>
      <c r="R51" s="312"/>
      <c r="S51" s="312"/>
      <c r="T51" s="312"/>
      <c r="U51" s="312"/>
      <c r="V51" s="312"/>
      <c r="W51" s="312"/>
      <c r="X51" s="312"/>
      <c r="Y51" s="312"/>
    </row>
    <row r="52" ht="18.75" spans="1:25">
      <c r="A52" s="312"/>
      <c r="B52" s="312"/>
      <c r="C52" s="312"/>
      <c r="D52" s="312"/>
      <c r="E52" s="312"/>
      <c r="F52" s="312"/>
      <c r="G52" s="312"/>
      <c r="H52" s="312"/>
      <c r="I52" s="312"/>
      <c r="J52" s="312"/>
      <c r="K52" s="312"/>
      <c r="L52" s="312"/>
      <c r="M52" s="312"/>
      <c r="N52" s="312"/>
      <c r="O52" s="312"/>
      <c r="P52" s="312"/>
      <c r="Q52" s="312"/>
      <c r="R52" s="312"/>
      <c r="S52" s="312"/>
      <c r="T52" s="312"/>
      <c r="U52" s="312"/>
      <c r="V52" s="312"/>
      <c r="W52" s="312"/>
      <c r="X52" s="312"/>
      <c r="Y52" s="312"/>
    </row>
    <row r="53" ht="18.75" spans="1:25">
      <c r="A53" s="312"/>
      <c r="B53" s="312"/>
      <c r="C53" s="312"/>
      <c r="D53" s="312"/>
      <c r="E53" s="312"/>
      <c r="F53" s="312"/>
      <c r="G53" s="312"/>
      <c r="H53" s="312"/>
      <c r="I53" s="312"/>
      <c r="J53" s="312"/>
      <c r="K53" s="312"/>
      <c r="L53" s="312"/>
      <c r="M53" s="312"/>
      <c r="N53" s="312"/>
      <c r="O53" s="312"/>
      <c r="P53" s="312"/>
      <c r="Q53" s="312"/>
      <c r="R53" s="312"/>
      <c r="S53" s="312"/>
      <c r="T53" s="312"/>
      <c r="U53" s="312"/>
      <c r="V53" s="312"/>
      <c r="W53" s="312"/>
      <c r="X53" s="312"/>
      <c r="Y53" s="312"/>
    </row>
    <row r="54" ht="18.75" spans="1:25">
      <c r="A54" s="312"/>
      <c r="B54" s="312"/>
      <c r="C54" s="312"/>
      <c r="D54" s="312"/>
      <c r="E54" s="312"/>
      <c r="F54" s="312"/>
      <c r="G54" s="312"/>
      <c r="H54" s="312"/>
      <c r="I54" s="312"/>
      <c r="J54" s="312"/>
      <c r="K54" s="312"/>
      <c r="L54" s="312"/>
      <c r="M54" s="312"/>
      <c r="N54" s="312"/>
      <c r="O54" s="312"/>
      <c r="P54" s="312"/>
      <c r="Q54" s="312"/>
      <c r="R54" s="312"/>
      <c r="S54" s="312"/>
      <c r="T54" s="312"/>
      <c r="U54" s="312"/>
      <c r="V54" s="312"/>
      <c r="W54" s="312"/>
      <c r="X54" s="312"/>
      <c r="Y54" s="312"/>
    </row>
    <row r="55" ht="18.75" spans="1:25">
      <c r="A55" s="312"/>
      <c r="B55" s="312"/>
      <c r="C55" s="312"/>
      <c r="D55" s="312"/>
      <c r="E55" s="312"/>
      <c r="F55" s="312"/>
      <c r="G55" s="312"/>
      <c r="H55" s="312"/>
      <c r="I55" s="312"/>
      <c r="J55" s="312"/>
      <c r="K55" s="312"/>
      <c r="L55" s="312"/>
      <c r="M55" s="312"/>
      <c r="N55" s="312"/>
      <c r="O55" s="312"/>
      <c r="P55" s="312"/>
      <c r="Q55" s="312"/>
      <c r="R55" s="312"/>
      <c r="S55" s="312"/>
      <c r="T55" s="312"/>
      <c r="U55" s="312"/>
      <c r="V55" s="312"/>
      <c r="W55" s="312"/>
      <c r="X55" s="312"/>
      <c r="Y55" s="312"/>
    </row>
    <row r="56" ht="18.75" spans="1:25">
      <c r="A56" s="312"/>
      <c r="B56" s="312"/>
      <c r="C56" s="312"/>
      <c r="D56" s="312"/>
      <c r="E56" s="312"/>
      <c r="F56" s="312"/>
      <c r="G56" s="312"/>
      <c r="H56" s="312"/>
      <c r="I56" s="312"/>
      <c r="J56" s="312"/>
      <c r="K56" s="312"/>
      <c r="L56" s="312"/>
      <c r="M56" s="312"/>
      <c r="N56" s="312"/>
      <c r="O56" s="312"/>
      <c r="P56" s="312"/>
      <c r="Q56" s="312"/>
      <c r="R56" s="312"/>
      <c r="S56" s="312"/>
      <c r="T56" s="312"/>
      <c r="U56" s="312"/>
      <c r="V56" s="312"/>
      <c r="W56" s="312"/>
      <c r="X56" s="312"/>
      <c r="Y56" s="312"/>
    </row>
    <row r="57" ht="18.75" spans="1:25">
      <c r="A57" s="312"/>
      <c r="B57" s="312"/>
      <c r="C57" s="312"/>
      <c r="D57" s="312"/>
      <c r="E57" s="312"/>
      <c r="F57" s="312"/>
      <c r="G57" s="312"/>
      <c r="H57" s="312"/>
      <c r="I57" s="312"/>
      <c r="J57" s="312"/>
      <c r="K57" s="312"/>
      <c r="L57" s="312"/>
      <c r="M57" s="312"/>
      <c r="N57" s="312"/>
      <c r="O57" s="312"/>
      <c r="P57" s="312"/>
      <c r="Q57" s="312"/>
      <c r="R57" s="312"/>
      <c r="S57" s="312"/>
      <c r="T57" s="312"/>
      <c r="U57" s="312"/>
      <c r="V57" s="312"/>
      <c r="W57" s="312"/>
      <c r="X57" s="312"/>
      <c r="Y57" s="312"/>
    </row>
    <row r="58" ht="18.75" spans="1:25">
      <c r="A58" s="312"/>
      <c r="B58" s="312"/>
      <c r="C58" s="312"/>
      <c r="D58" s="312"/>
      <c r="E58" s="312"/>
      <c r="F58" s="312"/>
      <c r="G58" s="312"/>
      <c r="H58" s="312"/>
      <c r="I58" s="312"/>
      <c r="J58" s="312"/>
      <c r="K58" s="312"/>
      <c r="L58" s="312"/>
      <c r="M58" s="312"/>
      <c r="N58" s="312"/>
      <c r="O58" s="312"/>
      <c r="P58" s="312"/>
      <c r="Q58" s="312"/>
      <c r="R58" s="312"/>
      <c r="S58" s="312"/>
      <c r="T58" s="312"/>
      <c r="U58" s="312"/>
      <c r="V58" s="312"/>
      <c r="W58" s="312"/>
      <c r="X58" s="312"/>
      <c r="Y58" s="312"/>
    </row>
    <row r="59" ht="18.75" spans="1:25">
      <c r="A59" s="312"/>
      <c r="B59" s="312"/>
      <c r="C59" s="312"/>
      <c r="D59" s="312"/>
      <c r="E59" s="312"/>
      <c r="F59" s="312"/>
      <c r="G59" s="312"/>
      <c r="H59" s="312"/>
      <c r="I59" s="312"/>
      <c r="J59" s="312"/>
      <c r="K59" s="312"/>
      <c r="L59" s="312"/>
      <c r="M59" s="312"/>
      <c r="N59" s="312"/>
      <c r="O59" s="312"/>
      <c r="P59" s="312"/>
      <c r="Q59" s="312"/>
      <c r="R59" s="312"/>
      <c r="S59" s="312"/>
      <c r="T59" s="312"/>
      <c r="U59" s="312"/>
      <c r="V59" s="312"/>
      <c r="W59" s="312"/>
      <c r="X59" s="312"/>
      <c r="Y59" s="312"/>
    </row>
    <row r="60" ht="18.75" spans="1:25">
      <c r="A60" s="312"/>
      <c r="B60" s="312"/>
      <c r="C60" s="312"/>
      <c r="D60" s="312"/>
      <c r="E60" s="312"/>
      <c r="F60" s="312"/>
      <c r="G60" s="312"/>
      <c r="H60" s="312"/>
      <c r="I60" s="312"/>
      <c r="J60" s="312"/>
      <c r="K60" s="312"/>
      <c r="L60" s="312"/>
      <c r="M60" s="312"/>
      <c r="N60" s="312"/>
      <c r="O60" s="312"/>
      <c r="P60" s="312"/>
      <c r="Q60" s="312"/>
      <c r="R60" s="312"/>
      <c r="S60" s="312"/>
      <c r="T60" s="312"/>
      <c r="U60" s="312"/>
      <c r="V60" s="312"/>
      <c r="W60" s="312"/>
      <c r="X60" s="312"/>
      <c r="Y60" s="312"/>
    </row>
    <row r="61" ht="18.75" spans="1:25">
      <c r="A61" s="312"/>
      <c r="B61" s="312"/>
      <c r="C61" s="312"/>
      <c r="D61" s="312"/>
      <c r="E61" s="312"/>
      <c r="F61" s="312"/>
      <c r="G61" s="312"/>
      <c r="H61" s="312"/>
      <c r="I61" s="312"/>
      <c r="J61" s="312"/>
      <c r="K61" s="312"/>
      <c r="L61" s="312"/>
      <c r="M61" s="312"/>
      <c r="N61" s="312"/>
      <c r="O61" s="312"/>
      <c r="P61" s="312"/>
      <c r="Q61" s="312"/>
      <c r="R61" s="312"/>
      <c r="S61" s="312"/>
      <c r="T61" s="312"/>
      <c r="U61" s="312"/>
      <c r="V61" s="312"/>
      <c r="W61" s="312"/>
      <c r="X61" s="312"/>
      <c r="Y61" s="312"/>
    </row>
    <row r="62" ht="18.75" spans="1:25">
      <c r="A62" s="312"/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</row>
    <row r="63" ht="18.75" spans="1:25">
      <c r="A63" s="312"/>
      <c r="B63" s="312"/>
      <c r="C63" s="312"/>
      <c r="D63" s="312"/>
      <c r="E63" s="312"/>
      <c r="F63" s="312"/>
      <c r="G63" s="312"/>
      <c r="H63" s="312"/>
      <c r="I63" s="312"/>
      <c r="J63" s="312"/>
      <c r="K63" s="312"/>
      <c r="L63" s="312"/>
      <c r="M63" s="312"/>
      <c r="N63" s="312"/>
      <c r="O63" s="312"/>
      <c r="P63" s="312"/>
      <c r="Q63" s="312"/>
      <c r="R63" s="312"/>
      <c r="S63" s="312"/>
      <c r="T63" s="312"/>
      <c r="U63" s="312"/>
      <c r="V63" s="312"/>
      <c r="W63" s="312"/>
      <c r="X63" s="312"/>
      <c r="Y63" s="312"/>
    </row>
    <row r="64" ht="18.75" spans="1:25">
      <c r="A64" s="312"/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</row>
    <row r="65" ht="18.75" spans="1:25">
      <c r="A65" s="312"/>
      <c r="B65" s="312"/>
      <c r="C65" s="312"/>
      <c r="D65" s="312"/>
      <c r="E65" s="312"/>
      <c r="F65" s="312"/>
      <c r="G65" s="312"/>
      <c r="H65" s="312"/>
      <c r="I65" s="312"/>
      <c r="J65" s="312"/>
      <c r="K65" s="312"/>
      <c r="L65" s="312"/>
      <c r="M65" s="312"/>
      <c r="N65" s="312"/>
      <c r="O65" s="312"/>
      <c r="P65" s="312"/>
      <c r="Q65" s="312"/>
      <c r="R65" s="312"/>
      <c r="S65" s="312"/>
      <c r="T65" s="312"/>
      <c r="U65" s="312"/>
      <c r="V65" s="312"/>
      <c r="W65" s="312"/>
      <c r="X65" s="312"/>
      <c r="Y65" s="312"/>
    </row>
    <row r="66" ht="18.75" spans="1:25">
      <c r="A66" s="312"/>
      <c r="B66" s="312"/>
      <c r="C66" s="312"/>
      <c r="D66" s="312"/>
      <c r="E66" s="312"/>
      <c r="F66" s="312"/>
      <c r="G66" s="312"/>
      <c r="H66" s="312"/>
      <c r="I66" s="312"/>
      <c r="J66" s="312"/>
      <c r="K66" s="312"/>
      <c r="L66" s="312"/>
      <c r="M66" s="312"/>
      <c r="N66" s="312"/>
      <c r="O66" s="312"/>
      <c r="P66" s="312"/>
      <c r="Q66" s="312"/>
      <c r="R66" s="312"/>
      <c r="S66" s="312"/>
      <c r="T66" s="312"/>
      <c r="U66" s="312"/>
      <c r="V66" s="312"/>
      <c r="W66" s="312"/>
      <c r="X66" s="312"/>
      <c r="Y66" s="312"/>
    </row>
    <row r="67" ht="18.75" spans="1:25">
      <c r="A67" s="312"/>
      <c r="B67" s="312"/>
      <c r="C67" s="312"/>
      <c r="D67" s="312"/>
      <c r="E67" s="312"/>
      <c r="F67" s="312"/>
      <c r="G67" s="312"/>
      <c r="H67" s="312"/>
      <c r="I67" s="312"/>
      <c r="J67" s="312"/>
      <c r="K67" s="312"/>
      <c r="L67" s="312"/>
      <c r="M67" s="312"/>
      <c r="N67" s="312"/>
      <c r="O67" s="312"/>
      <c r="P67" s="312"/>
      <c r="Q67" s="312"/>
      <c r="R67" s="312"/>
      <c r="S67" s="312"/>
      <c r="T67" s="312"/>
      <c r="U67" s="312"/>
      <c r="V67" s="312"/>
      <c r="W67" s="312"/>
      <c r="X67" s="312"/>
      <c r="Y67" s="312"/>
    </row>
    <row r="68" ht="18.75" spans="1:25">
      <c r="A68" s="312"/>
      <c r="B68" s="312"/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</row>
    <row r="69" ht="18.75" spans="1:25">
      <c r="A69" s="312"/>
      <c r="B69" s="312"/>
      <c r="C69" s="312"/>
      <c r="D69" s="312"/>
      <c r="E69" s="312"/>
      <c r="F69" s="312"/>
      <c r="G69" s="312"/>
      <c r="H69" s="312"/>
      <c r="I69" s="312"/>
      <c r="J69" s="312"/>
      <c r="K69" s="312"/>
      <c r="L69" s="312"/>
      <c r="M69" s="312"/>
      <c r="N69" s="312"/>
      <c r="O69" s="312"/>
      <c r="P69" s="312"/>
      <c r="Q69" s="312"/>
      <c r="R69" s="312"/>
      <c r="S69" s="312"/>
      <c r="T69" s="312"/>
      <c r="U69" s="312"/>
      <c r="V69" s="312"/>
      <c r="W69" s="312"/>
      <c r="X69" s="312"/>
      <c r="Y69" s="312"/>
    </row>
    <row r="70" ht="18.75" spans="1:25">
      <c r="A70" s="312"/>
      <c r="B70" s="312"/>
      <c r="C70" s="312"/>
      <c r="D70" s="312"/>
      <c r="E70" s="312"/>
      <c r="F70" s="312"/>
      <c r="G70" s="312"/>
      <c r="H70" s="312"/>
      <c r="I70" s="312"/>
      <c r="J70" s="312"/>
      <c r="K70" s="312"/>
      <c r="L70" s="312"/>
      <c r="M70" s="312"/>
      <c r="N70" s="312"/>
      <c r="O70" s="312"/>
      <c r="P70" s="312"/>
      <c r="Q70" s="312"/>
      <c r="R70" s="312"/>
      <c r="S70" s="312"/>
      <c r="T70" s="312"/>
      <c r="U70" s="312"/>
      <c r="V70" s="312"/>
      <c r="W70" s="312"/>
      <c r="X70" s="312"/>
      <c r="Y70" s="312"/>
    </row>
    <row r="71" ht="18.75" spans="1:25">
      <c r="A71" s="312"/>
      <c r="B71" s="312"/>
      <c r="C71" s="312"/>
      <c r="D71" s="312"/>
      <c r="E71" s="312"/>
      <c r="F71" s="312"/>
      <c r="G71" s="312"/>
      <c r="H71" s="312"/>
      <c r="I71" s="312"/>
      <c r="J71" s="312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2"/>
      <c r="X71" s="312"/>
      <c r="Y71" s="312"/>
    </row>
    <row r="72" ht="18.75" spans="1:25">
      <c r="A72" s="312"/>
      <c r="B72" s="312"/>
      <c r="C72" s="312"/>
      <c r="D72" s="312"/>
      <c r="E72" s="312"/>
      <c r="F72" s="312"/>
      <c r="G72" s="312"/>
      <c r="H72" s="312"/>
      <c r="I72" s="312"/>
      <c r="J72" s="312"/>
      <c r="K72" s="312"/>
      <c r="L72" s="312"/>
      <c r="M72" s="312"/>
      <c r="N72" s="312"/>
      <c r="O72" s="312"/>
      <c r="P72" s="312"/>
      <c r="Q72" s="312"/>
      <c r="R72" s="312"/>
      <c r="S72" s="312"/>
      <c r="T72" s="312"/>
      <c r="U72" s="312"/>
      <c r="V72" s="312"/>
      <c r="W72" s="312"/>
      <c r="X72" s="312"/>
      <c r="Y72" s="312"/>
    </row>
    <row r="73" ht="18.75" spans="1:25">
      <c r="A73" s="312"/>
      <c r="B73" s="312"/>
      <c r="C73" s="312"/>
      <c r="D73" s="312"/>
      <c r="E73" s="312"/>
      <c r="F73" s="312"/>
      <c r="G73" s="312"/>
      <c r="H73" s="312"/>
      <c r="I73" s="312"/>
      <c r="J73" s="312"/>
      <c r="K73" s="312"/>
      <c r="L73" s="312"/>
      <c r="M73" s="312"/>
      <c r="N73" s="312"/>
      <c r="O73" s="312"/>
      <c r="P73" s="312"/>
      <c r="Q73" s="312"/>
      <c r="R73" s="312"/>
      <c r="S73" s="312"/>
      <c r="T73" s="312"/>
      <c r="U73" s="312"/>
      <c r="V73" s="312"/>
      <c r="W73" s="312"/>
      <c r="X73" s="312"/>
      <c r="Y73" s="312"/>
    </row>
    <row r="74" ht="18.75" spans="1:25">
      <c r="A74" s="312"/>
      <c r="B74" s="312"/>
      <c r="C74" s="312"/>
      <c r="D74" s="312"/>
      <c r="E74" s="312"/>
      <c r="F74" s="312"/>
      <c r="G74" s="312"/>
      <c r="H74" s="312"/>
      <c r="I74" s="312"/>
      <c r="J74" s="312"/>
      <c r="K74" s="312"/>
      <c r="L74" s="312"/>
      <c r="M74" s="312"/>
      <c r="N74" s="312"/>
      <c r="O74" s="312"/>
      <c r="P74" s="312"/>
      <c r="Q74" s="312"/>
      <c r="R74" s="312"/>
      <c r="S74" s="312"/>
      <c r="T74" s="312"/>
      <c r="U74" s="312"/>
      <c r="V74" s="312"/>
      <c r="W74" s="312"/>
      <c r="X74" s="312"/>
      <c r="Y74" s="312"/>
    </row>
    <row r="75" ht="18.75" spans="1:25">
      <c r="A75" s="312"/>
      <c r="B75" s="312"/>
      <c r="C75" s="312"/>
      <c r="D75" s="312"/>
      <c r="E75" s="312"/>
      <c r="F75" s="312"/>
      <c r="G75" s="312"/>
      <c r="H75" s="312"/>
      <c r="I75" s="312"/>
      <c r="J75" s="312"/>
      <c r="K75" s="312"/>
      <c r="L75" s="312"/>
      <c r="M75" s="312"/>
      <c r="N75" s="312"/>
      <c r="O75" s="312"/>
      <c r="P75" s="312"/>
      <c r="Q75" s="312"/>
      <c r="R75" s="312"/>
      <c r="S75" s="312"/>
      <c r="T75" s="312"/>
      <c r="U75" s="312"/>
      <c r="V75" s="312"/>
      <c r="W75" s="312"/>
      <c r="X75" s="312"/>
      <c r="Y75" s="312"/>
    </row>
    <row r="76" ht="18.75" spans="1:25">
      <c r="A76" s="312"/>
      <c r="B76" s="312"/>
      <c r="C76" s="312"/>
      <c r="D76" s="312"/>
      <c r="E76" s="312"/>
      <c r="F76" s="312"/>
      <c r="G76" s="312"/>
      <c r="H76" s="312"/>
      <c r="I76" s="312"/>
      <c r="J76" s="312"/>
      <c r="K76" s="312"/>
      <c r="L76" s="312"/>
      <c r="M76" s="312"/>
      <c r="N76" s="312"/>
      <c r="O76" s="312"/>
      <c r="P76" s="312"/>
      <c r="Q76" s="312"/>
      <c r="R76" s="312"/>
      <c r="S76" s="312"/>
      <c r="T76" s="312"/>
      <c r="U76" s="312"/>
      <c r="V76" s="312"/>
      <c r="W76" s="312"/>
      <c r="X76" s="312"/>
      <c r="Y76" s="312"/>
    </row>
    <row r="77" ht="18.75" spans="1:25">
      <c r="A77" s="312"/>
      <c r="B77" s="312"/>
      <c r="C77" s="312"/>
      <c r="D77" s="312"/>
      <c r="E77" s="312"/>
      <c r="F77" s="312"/>
      <c r="G77" s="312"/>
      <c r="H77" s="312"/>
      <c r="I77" s="312"/>
      <c r="J77" s="312"/>
      <c r="K77" s="312"/>
      <c r="L77" s="312"/>
      <c r="M77" s="312"/>
      <c r="N77" s="312"/>
      <c r="O77" s="312"/>
      <c r="P77" s="312"/>
      <c r="Q77" s="312"/>
      <c r="R77" s="312"/>
      <c r="S77" s="312"/>
      <c r="T77" s="312"/>
      <c r="U77" s="312"/>
      <c r="V77" s="312"/>
      <c r="W77" s="312"/>
      <c r="X77" s="312"/>
      <c r="Y77" s="312"/>
    </row>
    <row r="78" ht="18.75" spans="1:25">
      <c r="A78" s="312"/>
      <c r="B78" s="312"/>
      <c r="C78" s="312"/>
      <c r="D78" s="312"/>
      <c r="E78" s="312"/>
      <c r="F78" s="312"/>
      <c r="G78" s="312"/>
      <c r="H78" s="312"/>
      <c r="I78" s="312"/>
      <c r="J78" s="312"/>
      <c r="K78" s="312"/>
      <c r="L78" s="312"/>
      <c r="M78" s="312"/>
      <c r="N78" s="312"/>
      <c r="O78" s="312"/>
      <c r="P78" s="312"/>
      <c r="Q78" s="312"/>
      <c r="R78" s="312"/>
      <c r="S78" s="312"/>
      <c r="T78" s="312"/>
      <c r="U78" s="312"/>
      <c r="V78" s="312"/>
      <c r="W78" s="312"/>
      <c r="X78" s="312"/>
      <c r="Y78" s="312"/>
    </row>
    <row r="79" ht="18.75" spans="1:25">
      <c r="A79" s="312"/>
      <c r="B79" s="312"/>
      <c r="C79" s="312"/>
      <c r="D79" s="312"/>
      <c r="E79" s="312"/>
      <c r="F79" s="312"/>
      <c r="G79" s="312"/>
      <c r="H79" s="312"/>
      <c r="I79" s="312"/>
      <c r="J79" s="312"/>
      <c r="K79" s="312"/>
      <c r="L79" s="312"/>
      <c r="M79" s="312"/>
      <c r="N79" s="312"/>
      <c r="O79" s="312"/>
      <c r="P79" s="312"/>
      <c r="Q79" s="312"/>
      <c r="R79" s="312"/>
      <c r="S79" s="312"/>
      <c r="T79" s="312"/>
      <c r="U79" s="312"/>
      <c r="V79" s="312"/>
      <c r="W79" s="312"/>
      <c r="X79" s="312"/>
      <c r="Y79" s="312"/>
    </row>
    <row r="80" ht="18.75" spans="1:25">
      <c r="A80" s="312"/>
      <c r="B80" s="312"/>
      <c r="C80" s="312"/>
      <c r="D80" s="312"/>
      <c r="E80" s="312"/>
      <c r="F80" s="312"/>
      <c r="G80" s="312"/>
      <c r="H80" s="312"/>
      <c r="I80" s="312"/>
      <c r="J80" s="312"/>
      <c r="K80" s="312"/>
      <c r="L80" s="312"/>
      <c r="M80" s="312"/>
      <c r="N80" s="312"/>
      <c r="O80" s="312"/>
      <c r="P80" s="312"/>
      <c r="Q80" s="312"/>
      <c r="R80" s="312"/>
      <c r="S80" s="312"/>
      <c r="T80" s="312"/>
      <c r="U80" s="312"/>
      <c r="V80" s="312"/>
      <c r="W80" s="312"/>
      <c r="X80" s="312"/>
      <c r="Y80" s="312"/>
    </row>
    <row r="81" ht="18.75" spans="1:25">
      <c r="A81" s="312"/>
      <c r="B81" s="312"/>
      <c r="C81" s="312"/>
      <c r="D81" s="312"/>
      <c r="E81" s="312"/>
      <c r="F81" s="312"/>
      <c r="G81" s="312"/>
      <c r="H81" s="312"/>
      <c r="I81" s="312"/>
      <c r="J81" s="312"/>
      <c r="K81" s="312"/>
      <c r="L81" s="312"/>
      <c r="M81" s="312"/>
      <c r="N81" s="312"/>
      <c r="O81" s="312"/>
      <c r="P81" s="312"/>
      <c r="Q81" s="312"/>
      <c r="R81" s="312"/>
      <c r="S81" s="312"/>
      <c r="T81" s="312"/>
      <c r="U81" s="312"/>
      <c r="V81" s="312"/>
      <c r="W81" s="312"/>
      <c r="X81" s="312"/>
      <c r="Y81" s="312"/>
    </row>
    <row r="82" ht="18.75" spans="1:25">
      <c r="A82" s="312"/>
      <c r="B82" s="312"/>
      <c r="C82" s="312"/>
      <c r="D82" s="312"/>
      <c r="E82" s="312"/>
      <c r="F82" s="312"/>
      <c r="G82" s="312"/>
      <c r="H82" s="312"/>
      <c r="I82" s="312"/>
      <c r="J82" s="312"/>
      <c r="K82" s="312"/>
      <c r="L82" s="312"/>
      <c r="M82" s="312"/>
      <c r="N82" s="312"/>
      <c r="O82" s="312"/>
      <c r="P82" s="312"/>
      <c r="Q82" s="312"/>
      <c r="R82" s="312"/>
      <c r="S82" s="312"/>
      <c r="T82" s="312"/>
      <c r="U82" s="312"/>
      <c r="V82" s="312"/>
      <c r="W82" s="312"/>
      <c r="X82" s="312"/>
      <c r="Y82" s="312"/>
    </row>
    <row r="83" ht="18.75" spans="1:25">
      <c r="A83" s="312"/>
      <c r="B83" s="312"/>
      <c r="C83" s="312"/>
      <c r="D83" s="312"/>
      <c r="E83" s="312"/>
      <c r="F83" s="312"/>
      <c r="G83" s="312"/>
      <c r="H83" s="312"/>
      <c r="I83" s="312"/>
      <c r="J83" s="312"/>
      <c r="K83" s="312"/>
      <c r="L83" s="312"/>
      <c r="M83" s="312"/>
      <c r="N83" s="312"/>
      <c r="O83" s="312"/>
      <c r="P83" s="312"/>
      <c r="Q83" s="312"/>
      <c r="R83" s="312"/>
      <c r="S83" s="312"/>
      <c r="T83" s="312"/>
      <c r="U83" s="312"/>
      <c r="V83" s="312"/>
      <c r="W83" s="312"/>
      <c r="X83" s="312"/>
      <c r="Y83" s="312"/>
    </row>
    <row r="84" ht="18.75" spans="1:25">
      <c r="A84" s="312"/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</row>
    <row r="85" ht="18.75" spans="1:25">
      <c r="A85" s="312"/>
      <c r="B85" s="312"/>
      <c r="C85" s="312"/>
      <c r="D85" s="312"/>
      <c r="E85" s="312"/>
      <c r="F85" s="312"/>
      <c r="G85" s="312"/>
      <c r="H85" s="312"/>
      <c r="I85" s="312"/>
      <c r="J85" s="312"/>
      <c r="K85" s="312"/>
      <c r="L85" s="312"/>
      <c r="M85" s="312"/>
      <c r="N85" s="312"/>
      <c r="O85" s="312"/>
      <c r="P85" s="312"/>
      <c r="Q85" s="312"/>
      <c r="R85" s="312"/>
      <c r="S85" s="312"/>
      <c r="T85" s="312"/>
      <c r="U85" s="312"/>
      <c r="V85" s="312"/>
      <c r="W85" s="312"/>
      <c r="X85" s="312"/>
      <c r="Y85" s="312"/>
    </row>
    <row r="86" ht="18.75" spans="1:25">
      <c r="A86" s="312"/>
      <c r="B86" s="312"/>
      <c r="C86" s="312"/>
      <c r="D86" s="312"/>
      <c r="E86" s="312"/>
      <c r="F86" s="312"/>
      <c r="G86" s="312"/>
      <c r="H86" s="312"/>
      <c r="I86" s="312"/>
      <c r="J86" s="312"/>
      <c r="K86" s="312"/>
      <c r="L86" s="312"/>
      <c r="M86" s="312"/>
      <c r="N86" s="312"/>
      <c r="O86" s="312"/>
      <c r="P86" s="312"/>
      <c r="Q86" s="312"/>
      <c r="R86" s="312"/>
      <c r="S86" s="312"/>
      <c r="T86" s="312"/>
      <c r="U86" s="312"/>
      <c r="V86" s="312"/>
      <c r="W86" s="312"/>
      <c r="X86" s="312"/>
      <c r="Y86" s="312"/>
    </row>
    <row r="87" ht="18.75" spans="1:25">
      <c r="A87" s="312"/>
      <c r="B87" s="312"/>
      <c r="C87" s="312"/>
      <c r="D87" s="312"/>
      <c r="E87" s="312"/>
      <c r="F87" s="312"/>
      <c r="G87" s="312"/>
      <c r="H87" s="312"/>
      <c r="I87" s="312"/>
      <c r="J87" s="312"/>
      <c r="K87" s="312"/>
      <c r="L87" s="312"/>
      <c r="M87" s="312"/>
      <c r="N87" s="312"/>
      <c r="O87" s="312"/>
      <c r="P87" s="312"/>
      <c r="Q87" s="312"/>
      <c r="R87" s="312"/>
      <c r="S87" s="312"/>
      <c r="T87" s="312"/>
      <c r="U87" s="312"/>
      <c r="V87" s="312"/>
      <c r="W87" s="312"/>
      <c r="X87" s="312"/>
      <c r="Y87" s="312"/>
    </row>
    <row r="88" ht="18.75" spans="1:25">
      <c r="A88" s="312"/>
      <c r="B88" s="312"/>
      <c r="C88" s="312"/>
      <c r="D88" s="312"/>
      <c r="E88" s="312"/>
      <c r="F88" s="312"/>
      <c r="G88" s="312"/>
      <c r="H88" s="312"/>
      <c r="I88" s="312"/>
      <c r="J88" s="312"/>
      <c r="K88" s="312"/>
      <c r="L88" s="312"/>
      <c r="M88" s="312"/>
      <c r="N88" s="312"/>
      <c r="O88" s="312"/>
      <c r="P88" s="312"/>
      <c r="Q88" s="312"/>
      <c r="R88" s="312"/>
      <c r="S88" s="312"/>
      <c r="T88" s="312"/>
      <c r="U88" s="312"/>
      <c r="V88" s="312"/>
      <c r="W88" s="312"/>
      <c r="X88" s="312"/>
      <c r="Y88" s="312"/>
    </row>
    <row r="89" ht="18.75" spans="1:25">
      <c r="A89" s="312"/>
      <c r="B89" s="312"/>
      <c r="C89" s="312"/>
      <c r="D89" s="312"/>
      <c r="E89" s="312"/>
      <c r="F89" s="312"/>
      <c r="G89" s="312"/>
      <c r="H89" s="312"/>
      <c r="I89" s="312"/>
      <c r="J89" s="312"/>
      <c r="K89" s="312"/>
      <c r="L89" s="312"/>
      <c r="M89" s="312"/>
      <c r="N89" s="312"/>
      <c r="O89" s="312"/>
      <c r="P89" s="312"/>
      <c r="Q89" s="312"/>
      <c r="R89" s="312"/>
      <c r="S89" s="312"/>
      <c r="T89" s="312"/>
      <c r="U89" s="312"/>
      <c r="V89" s="312"/>
      <c r="W89" s="312"/>
      <c r="X89" s="312"/>
      <c r="Y89" s="312"/>
    </row>
    <row r="90" ht="18.75" spans="1:25">
      <c r="A90" s="312"/>
      <c r="B90" s="312"/>
      <c r="C90" s="312"/>
      <c r="D90" s="312"/>
      <c r="E90" s="312"/>
      <c r="F90" s="312"/>
      <c r="G90" s="312"/>
      <c r="H90" s="312"/>
      <c r="I90" s="312"/>
      <c r="J90" s="312"/>
      <c r="K90" s="312"/>
      <c r="L90" s="312"/>
      <c r="M90" s="312"/>
      <c r="N90" s="312"/>
      <c r="O90" s="312"/>
      <c r="P90" s="312"/>
      <c r="Q90" s="312"/>
      <c r="R90" s="312"/>
      <c r="S90" s="312"/>
      <c r="T90" s="312"/>
      <c r="U90" s="312"/>
      <c r="V90" s="312"/>
      <c r="W90" s="312"/>
      <c r="X90" s="312"/>
      <c r="Y90" s="312"/>
    </row>
    <row r="91" ht="18.75" spans="1:25">
      <c r="A91" s="312"/>
      <c r="B91" s="312"/>
      <c r="C91" s="312"/>
      <c r="D91" s="312"/>
      <c r="E91" s="312"/>
      <c r="F91" s="312"/>
      <c r="G91" s="312"/>
      <c r="H91" s="312"/>
      <c r="I91" s="312"/>
      <c r="J91" s="312"/>
      <c r="K91" s="312"/>
      <c r="L91" s="312"/>
      <c r="M91" s="312"/>
      <c r="N91" s="312"/>
      <c r="O91" s="312"/>
      <c r="P91" s="312"/>
      <c r="Q91" s="312"/>
      <c r="R91" s="312"/>
      <c r="S91" s="312"/>
      <c r="T91" s="312"/>
      <c r="U91" s="312"/>
      <c r="V91" s="312"/>
      <c r="W91" s="312"/>
      <c r="X91" s="312"/>
      <c r="Y91" s="312"/>
    </row>
    <row r="92" ht="18.75" spans="1:25">
      <c r="A92" s="312"/>
      <c r="B92" s="312"/>
      <c r="C92" s="312"/>
      <c r="D92" s="312"/>
      <c r="E92" s="312"/>
      <c r="F92" s="312"/>
      <c r="G92" s="312"/>
      <c r="H92" s="312"/>
      <c r="I92" s="312"/>
      <c r="J92" s="312"/>
      <c r="K92" s="312"/>
      <c r="L92" s="312"/>
      <c r="M92" s="312"/>
      <c r="N92" s="312"/>
      <c r="O92" s="312"/>
      <c r="P92" s="312"/>
      <c r="Q92" s="312"/>
      <c r="R92" s="312"/>
      <c r="S92" s="312"/>
      <c r="T92" s="312"/>
      <c r="U92" s="312"/>
      <c r="V92" s="312"/>
      <c r="W92" s="312"/>
      <c r="X92" s="312"/>
      <c r="Y92" s="312"/>
    </row>
    <row r="93" ht="18.75" spans="1:25">
      <c r="A93" s="312"/>
      <c r="B93" s="312"/>
      <c r="C93" s="312"/>
      <c r="D93" s="312"/>
      <c r="E93" s="312"/>
      <c r="F93" s="312"/>
      <c r="G93" s="312"/>
      <c r="H93" s="312"/>
      <c r="I93" s="312"/>
      <c r="J93" s="312"/>
      <c r="K93" s="312"/>
      <c r="L93" s="312"/>
      <c r="M93" s="312"/>
      <c r="N93" s="312"/>
      <c r="O93" s="312"/>
      <c r="P93" s="312"/>
      <c r="Q93" s="312"/>
      <c r="R93" s="312"/>
      <c r="S93" s="312"/>
      <c r="T93" s="312"/>
      <c r="U93" s="312"/>
      <c r="V93" s="312"/>
      <c r="W93" s="312"/>
      <c r="X93" s="312"/>
      <c r="Y93" s="312"/>
    </row>
    <row r="94" ht="18.75" spans="1:25">
      <c r="A94" s="312"/>
      <c r="B94" s="312"/>
      <c r="C94" s="312"/>
      <c r="D94" s="312"/>
      <c r="E94" s="312"/>
      <c r="F94" s="312"/>
      <c r="G94" s="312"/>
      <c r="H94" s="312"/>
      <c r="I94" s="312"/>
      <c r="J94" s="312"/>
      <c r="K94" s="312"/>
      <c r="L94" s="312"/>
      <c r="M94" s="312"/>
      <c r="N94" s="312"/>
      <c r="O94" s="312"/>
      <c r="P94" s="312"/>
      <c r="Q94" s="312"/>
      <c r="R94" s="312"/>
      <c r="S94" s="312"/>
      <c r="T94" s="312"/>
      <c r="U94" s="312"/>
      <c r="V94" s="312"/>
      <c r="W94" s="312"/>
      <c r="X94" s="312"/>
      <c r="Y94" s="312"/>
    </row>
    <row r="95" ht="18.75" spans="1:25">
      <c r="A95" s="312"/>
      <c r="B95" s="312"/>
      <c r="C95" s="312"/>
      <c r="D95" s="312"/>
      <c r="E95" s="312"/>
      <c r="F95" s="312"/>
      <c r="G95" s="312"/>
      <c r="H95" s="312"/>
      <c r="I95" s="312"/>
      <c r="J95" s="312"/>
      <c r="K95" s="312"/>
      <c r="L95" s="312"/>
      <c r="M95" s="312"/>
      <c r="N95" s="312"/>
      <c r="O95" s="312"/>
      <c r="P95" s="312"/>
      <c r="Q95" s="312"/>
      <c r="R95" s="312"/>
      <c r="S95" s="312"/>
      <c r="T95" s="312"/>
      <c r="U95" s="312"/>
      <c r="V95" s="312"/>
      <c r="W95" s="312"/>
      <c r="X95" s="312"/>
      <c r="Y95" s="312"/>
    </row>
    <row r="96" ht="18.75" spans="1:25">
      <c r="A96" s="312"/>
      <c r="B96" s="312"/>
      <c r="C96" s="312"/>
      <c r="D96" s="312"/>
      <c r="E96" s="312"/>
      <c r="F96" s="312"/>
      <c r="G96" s="312"/>
      <c r="H96" s="312"/>
      <c r="I96" s="312"/>
      <c r="J96" s="312"/>
      <c r="K96" s="312"/>
      <c r="L96" s="312"/>
      <c r="M96" s="312"/>
      <c r="N96" s="312"/>
      <c r="O96" s="312"/>
      <c r="P96" s="312"/>
      <c r="Q96" s="312"/>
      <c r="R96" s="312"/>
      <c r="S96" s="312"/>
      <c r="T96" s="312"/>
      <c r="U96" s="312"/>
      <c r="V96" s="312"/>
      <c r="W96" s="312"/>
      <c r="X96" s="312"/>
      <c r="Y96" s="312"/>
    </row>
    <row r="97" ht="18.75" spans="1:25">
      <c r="A97" s="312"/>
      <c r="B97" s="312"/>
      <c r="C97" s="312"/>
      <c r="D97" s="312"/>
      <c r="E97" s="312"/>
      <c r="F97" s="312"/>
      <c r="G97" s="312"/>
      <c r="H97" s="312"/>
      <c r="I97" s="312"/>
      <c r="J97" s="312"/>
      <c r="K97" s="312"/>
      <c r="L97" s="312"/>
      <c r="M97" s="312"/>
      <c r="N97" s="312"/>
      <c r="O97" s="312"/>
      <c r="P97" s="312"/>
      <c r="Q97" s="312"/>
      <c r="R97" s="312"/>
      <c r="S97" s="312"/>
      <c r="T97" s="312"/>
      <c r="U97" s="312"/>
      <c r="V97" s="312"/>
      <c r="W97" s="312"/>
      <c r="X97" s="312"/>
      <c r="Y97" s="312"/>
    </row>
    <row r="98" ht="18.75" spans="1:25">
      <c r="A98" s="312"/>
      <c r="B98" s="312"/>
      <c r="C98" s="312"/>
      <c r="D98" s="312"/>
      <c r="E98" s="312"/>
      <c r="F98" s="312"/>
      <c r="G98" s="312"/>
      <c r="H98" s="312"/>
      <c r="I98" s="312"/>
      <c r="J98" s="312"/>
      <c r="K98" s="312"/>
      <c r="L98" s="312"/>
      <c r="M98" s="312"/>
      <c r="N98" s="312"/>
      <c r="O98" s="312"/>
      <c r="P98" s="312"/>
      <c r="Q98" s="312"/>
      <c r="R98" s="312"/>
      <c r="S98" s="312"/>
      <c r="T98" s="312"/>
      <c r="U98" s="312"/>
      <c r="V98" s="312"/>
      <c r="W98" s="312"/>
      <c r="X98" s="312"/>
      <c r="Y98" s="312"/>
    </row>
    <row r="99" ht="18.75" spans="1:25">
      <c r="A99" s="312"/>
      <c r="B99" s="312"/>
      <c r="C99" s="312"/>
      <c r="D99" s="312"/>
      <c r="E99" s="312"/>
      <c r="F99" s="312"/>
      <c r="G99" s="312"/>
      <c r="H99" s="312"/>
      <c r="I99" s="312"/>
      <c r="J99" s="312"/>
      <c r="K99" s="312"/>
      <c r="L99" s="312"/>
      <c r="M99" s="312"/>
      <c r="N99" s="312"/>
      <c r="O99" s="312"/>
      <c r="P99" s="312"/>
      <c r="Q99" s="312"/>
      <c r="R99" s="312"/>
      <c r="S99" s="312"/>
      <c r="T99" s="312"/>
      <c r="U99" s="312"/>
      <c r="V99" s="312"/>
      <c r="W99" s="312"/>
      <c r="X99" s="312"/>
      <c r="Y99" s="312"/>
    </row>
    <row r="100" ht="18.75" spans="1:25">
      <c r="A100" s="312"/>
      <c r="B100" s="312"/>
      <c r="C100" s="312"/>
      <c r="D100" s="312"/>
      <c r="E100" s="312"/>
      <c r="F100" s="312"/>
      <c r="G100" s="312"/>
      <c r="H100" s="312"/>
      <c r="I100" s="312"/>
      <c r="J100" s="312"/>
      <c r="K100" s="312"/>
      <c r="L100" s="312"/>
      <c r="M100" s="312"/>
      <c r="N100" s="312"/>
      <c r="O100" s="312"/>
      <c r="P100" s="312"/>
      <c r="Q100" s="312"/>
      <c r="R100" s="312"/>
      <c r="S100" s="312"/>
      <c r="T100" s="312"/>
      <c r="U100" s="312"/>
      <c r="V100" s="312"/>
      <c r="W100" s="312"/>
      <c r="X100" s="312"/>
      <c r="Y100" s="312"/>
    </row>
    <row r="101" ht="18.75" spans="1:25">
      <c r="A101" s="312"/>
      <c r="B101" s="312"/>
      <c r="C101" s="312"/>
      <c r="D101" s="312"/>
      <c r="E101" s="312"/>
      <c r="F101" s="312"/>
      <c r="G101" s="312"/>
      <c r="H101" s="312"/>
      <c r="I101" s="312"/>
      <c r="J101" s="312"/>
      <c r="K101" s="312"/>
      <c r="L101" s="312"/>
      <c r="M101" s="312"/>
      <c r="N101" s="312"/>
      <c r="O101" s="312"/>
      <c r="P101" s="312"/>
      <c r="Q101" s="312"/>
      <c r="R101" s="312"/>
      <c r="S101" s="312"/>
      <c r="T101" s="312"/>
      <c r="U101" s="312"/>
      <c r="V101" s="312"/>
      <c r="W101" s="312"/>
      <c r="X101" s="312"/>
      <c r="Y101" s="312"/>
    </row>
    <row r="102" ht="18.75" spans="1:25">
      <c r="A102" s="312"/>
      <c r="B102" s="312"/>
      <c r="C102" s="312"/>
      <c r="D102" s="312"/>
      <c r="E102" s="312"/>
      <c r="F102" s="312"/>
      <c r="G102" s="312"/>
      <c r="H102" s="312"/>
      <c r="I102" s="312"/>
      <c r="J102" s="312"/>
      <c r="K102" s="312"/>
      <c r="L102" s="312"/>
      <c r="M102" s="312"/>
      <c r="N102" s="312"/>
      <c r="O102" s="312"/>
      <c r="P102" s="312"/>
      <c r="Q102" s="312"/>
      <c r="R102" s="312"/>
      <c r="S102" s="312"/>
      <c r="T102" s="312"/>
      <c r="U102" s="312"/>
      <c r="V102" s="312"/>
      <c r="W102" s="312"/>
      <c r="X102" s="312"/>
      <c r="Y102" s="312"/>
    </row>
    <row r="103" ht="18.75" spans="1:25">
      <c r="A103" s="312"/>
      <c r="B103" s="312"/>
      <c r="C103" s="312"/>
      <c r="D103" s="312"/>
      <c r="E103" s="312"/>
      <c r="F103" s="312"/>
      <c r="G103" s="312"/>
      <c r="H103" s="312"/>
      <c r="I103" s="312"/>
      <c r="J103" s="312"/>
      <c r="K103" s="312"/>
      <c r="L103" s="312"/>
      <c r="M103" s="312"/>
      <c r="N103" s="312"/>
      <c r="O103" s="312"/>
      <c r="P103" s="312"/>
      <c r="Q103" s="312"/>
      <c r="R103" s="312"/>
      <c r="S103" s="312"/>
      <c r="T103" s="312"/>
      <c r="U103" s="312"/>
      <c r="V103" s="312"/>
      <c r="W103" s="312"/>
      <c r="X103" s="312"/>
      <c r="Y103" s="312"/>
    </row>
    <row r="104" ht="18.75" spans="1:25">
      <c r="A104" s="312"/>
      <c r="B104" s="312"/>
      <c r="C104" s="312"/>
      <c r="D104" s="312"/>
      <c r="E104" s="312"/>
      <c r="F104" s="312"/>
      <c r="G104" s="312"/>
      <c r="H104" s="312"/>
      <c r="I104" s="312"/>
      <c r="J104" s="312"/>
      <c r="K104" s="312"/>
      <c r="L104" s="312"/>
      <c r="M104" s="312"/>
      <c r="N104" s="312"/>
      <c r="O104" s="312"/>
      <c r="P104" s="312"/>
      <c r="Q104" s="312"/>
      <c r="R104" s="312"/>
      <c r="S104" s="312"/>
      <c r="T104" s="312"/>
      <c r="U104" s="312"/>
      <c r="V104" s="312"/>
      <c r="W104" s="312"/>
      <c r="X104" s="312"/>
      <c r="Y104" s="312"/>
    </row>
    <row r="105" ht="18.75" spans="1:25">
      <c r="A105" s="312"/>
      <c r="B105" s="312"/>
      <c r="C105" s="312"/>
      <c r="D105" s="312"/>
      <c r="E105" s="312"/>
      <c r="F105" s="312"/>
      <c r="G105" s="312"/>
      <c r="H105" s="312"/>
      <c r="I105" s="312"/>
      <c r="J105" s="312"/>
      <c r="K105" s="312"/>
      <c r="L105" s="312"/>
      <c r="M105" s="312"/>
      <c r="N105" s="312"/>
      <c r="O105" s="312"/>
      <c r="P105" s="312"/>
      <c r="Q105" s="312"/>
      <c r="R105" s="312"/>
      <c r="S105" s="312"/>
      <c r="T105" s="312"/>
      <c r="U105" s="312"/>
      <c r="V105" s="312"/>
      <c r="W105" s="312"/>
      <c r="X105" s="312"/>
      <c r="Y105" s="312"/>
    </row>
    <row r="106" ht="18.75" spans="1:25">
      <c r="A106" s="312"/>
      <c r="B106" s="312"/>
      <c r="C106" s="312"/>
      <c r="D106" s="312"/>
      <c r="E106" s="312"/>
      <c r="F106" s="312"/>
      <c r="G106" s="312"/>
      <c r="H106" s="312"/>
      <c r="I106" s="312"/>
      <c r="J106" s="312"/>
      <c r="K106" s="312"/>
      <c r="L106" s="312"/>
      <c r="M106" s="312"/>
      <c r="N106" s="312"/>
      <c r="O106" s="312"/>
      <c r="P106" s="312"/>
      <c r="Q106" s="312"/>
      <c r="R106" s="312"/>
      <c r="S106" s="312"/>
      <c r="T106" s="312"/>
      <c r="U106" s="312"/>
      <c r="V106" s="312"/>
      <c r="W106" s="312"/>
      <c r="X106" s="312"/>
      <c r="Y106" s="312"/>
    </row>
    <row r="107" ht="18.75" spans="1:25">
      <c r="A107" s="312"/>
      <c r="B107" s="312"/>
      <c r="C107" s="312"/>
      <c r="D107" s="312"/>
      <c r="E107" s="312"/>
      <c r="F107" s="312"/>
      <c r="G107" s="312"/>
      <c r="H107" s="312"/>
      <c r="I107" s="312"/>
      <c r="J107" s="312"/>
      <c r="K107" s="312"/>
      <c r="L107" s="312"/>
      <c r="M107" s="312"/>
      <c r="N107" s="312"/>
      <c r="O107" s="312"/>
      <c r="P107" s="312"/>
      <c r="Q107" s="312"/>
      <c r="R107" s="312"/>
      <c r="S107" s="312"/>
      <c r="T107" s="312"/>
      <c r="U107" s="312"/>
      <c r="V107" s="312"/>
      <c r="W107" s="312"/>
      <c r="X107" s="312"/>
      <c r="Y107" s="312"/>
    </row>
    <row r="108" ht="18.75" spans="1:25">
      <c r="A108" s="312"/>
      <c r="B108" s="312"/>
      <c r="C108" s="312"/>
      <c r="D108" s="312"/>
      <c r="E108" s="312"/>
      <c r="F108" s="312"/>
      <c r="G108" s="312"/>
      <c r="H108" s="312"/>
      <c r="I108" s="312"/>
      <c r="J108" s="312"/>
      <c r="K108" s="312"/>
      <c r="L108" s="312"/>
      <c r="M108" s="312"/>
      <c r="N108" s="312"/>
      <c r="O108" s="312"/>
      <c r="P108" s="312"/>
      <c r="Q108" s="312"/>
      <c r="R108" s="312"/>
      <c r="S108" s="312"/>
      <c r="T108" s="312"/>
      <c r="U108" s="312"/>
      <c r="V108" s="312"/>
      <c r="W108" s="312"/>
      <c r="X108" s="312"/>
      <c r="Y108" s="312"/>
    </row>
    <row r="109" ht="18.75" spans="1:25">
      <c r="A109" s="312"/>
      <c r="B109" s="312"/>
      <c r="C109" s="312"/>
      <c r="D109" s="312"/>
      <c r="E109" s="312"/>
      <c r="F109" s="312"/>
      <c r="G109" s="312"/>
      <c r="H109" s="312"/>
      <c r="I109" s="312"/>
      <c r="J109" s="312"/>
      <c r="K109" s="312"/>
      <c r="L109" s="312"/>
      <c r="M109" s="312"/>
      <c r="N109" s="312"/>
      <c r="O109" s="312"/>
      <c r="P109" s="312"/>
      <c r="Q109" s="312"/>
      <c r="R109" s="312"/>
      <c r="S109" s="312"/>
      <c r="T109" s="312"/>
      <c r="U109" s="312"/>
      <c r="V109" s="312"/>
      <c r="W109" s="312"/>
      <c r="X109" s="312"/>
      <c r="Y109" s="312"/>
    </row>
    <row r="110" ht="18.75" spans="1:25">
      <c r="A110" s="312"/>
      <c r="B110" s="312"/>
      <c r="C110" s="312"/>
      <c r="D110" s="312"/>
      <c r="E110" s="312"/>
      <c r="F110" s="312"/>
      <c r="G110" s="312"/>
      <c r="H110" s="312"/>
      <c r="I110" s="312"/>
      <c r="J110" s="312"/>
      <c r="K110" s="312"/>
      <c r="L110" s="312"/>
      <c r="M110" s="312"/>
      <c r="N110" s="312"/>
      <c r="O110" s="312"/>
      <c r="P110" s="312"/>
      <c r="Q110" s="312"/>
      <c r="R110" s="312"/>
      <c r="S110" s="312"/>
      <c r="T110" s="312"/>
      <c r="U110" s="312"/>
      <c r="V110" s="312"/>
      <c r="W110" s="312"/>
      <c r="X110" s="312"/>
      <c r="Y110" s="312"/>
    </row>
    <row r="111" ht="18.75" spans="1:25">
      <c r="A111" s="312"/>
      <c r="B111" s="312"/>
      <c r="C111" s="312"/>
      <c r="D111" s="312"/>
      <c r="E111" s="312"/>
      <c r="F111" s="312"/>
      <c r="G111" s="312"/>
      <c r="H111" s="312"/>
      <c r="I111" s="312"/>
      <c r="J111" s="312"/>
      <c r="K111" s="312"/>
      <c r="L111" s="312"/>
      <c r="M111" s="312"/>
      <c r="N111" s="312"/>
      <c r="O111" s="312"/>
      <c r="P111" s="312"/>
      <c r="Q111" s="312"/>
      <c r="R111" s="312"/>
      <c r="S111" s="312"/>
      <c r="T111" s="312"/>
      <c r="U111" s="312"/>
      <c r="V111" s="312"/>
      <c r="W111" s="312"/>
      <c r="X111" s="312"/>
      <c r="Y111" s="312"/>
    </row>
    <row r="112" ht="18.75" spans="1:25">
      <c r="A112" s="312"/>
      <c r="B112" s="312"/>
      <c r="C112" s="312"/>
      <c r="D112" s="312"/>
      <c r="E112" s="312"/>
      <c r="F112" s="312"/>
      <c r="G112" s="312"/>
      <c r="H112" s="312"/>
      <c r="I112" s="312"/>
      <c r="J112" s="312"/>
      <c r="K112" s="312"/>
      <c r="L112" s="312"/>
      <c r="M112" s="312"/>
      <c r="N112" s="312"/>
      <c r="O112" s="312"/>
      <c r="P112" s="312"/>
      <c r="Q112" s="312"/>
      <c r="R112" s="312"/>
      <c r="S112" s="312"/>
      <c r="T112" s="312"/>
      <c r="U112" s="312"/>
      <c r="V112" s="312"/>
      <c r="W112" s="312"/>
      <c r="X112" s="312"/>
      <c r="Y112" s="312"/>
    </row>
    <row r="113" ht="18.75" spans="1:25">
      <c r="A113" s="312"/>
      <c r="B113" s="312"/>
      <c r="C113" s="312"/>
      <c r="D113" s="312"/>
      <c r="E113" s="312"/>
      <c r="F113" s="312"/>
      <c r="G113" s="312"/>
      <c r="H113" s="312"/>
      <c r="I113" s="312"/>
      <c r="J113" s="312"/>
      <c r="K113" s="312"/>
      <c r="L113" s="312"/>
      <c r="M113" s="312"/>
      <c r="N113" s="312"/>
      <c r="O113" s="312"/>
      <c r="P113" s="312"/>
      <c r="Q113" s="312"/>
      <c r="R113" s="312"/>
      <c r="S113" s="312"/>
      <c r="T113" s="312"/>
      <c r="U113" s="312"/>
      <c r="V113" s="312"/>
      <c r="W113" s="312"/>
      <c r="X113" s="312"/>
      <c r="Y113" s="312"/>
    </row>
    <row r="114" ht="18.75" spans="1:25">
      <c r="A114" s="312"/>
      <c r="B114" s="312"/>
      <c r="C114" s="312"/>
      <c r="D114" s="312"/>
      <c r="E114" s="312"/>
      <c r="F114" s="312"/>
      <c r="G114" s="312"/>
      <c r="H114" s="312"/>
      <c r="I114" s="312"/>
      <c r="J114" s="312"/>
      <c r="K114" s="312"/>
      <c r="L114" s="312"/>
      <c r="M114" s="312"/>
      <c r="N114" s="312"/>
      <c r="O114" s="312"/>
      <c r="P114" s="312"/>
      <c r="Q114" s="312"/>
      <c r="R114" s="312"/>
      <c r="S114" s="312"/>
      <c r="T114" s="312"/>
      <c r="U114" s="312"/>
      <c r="V114" s="312"/>
      <c r="W114" s="312"/>
      <c r="X114" s="312"/>
      <c r="Y114" s="312"/>
    </row>
    <row r="115" ht="18.75" spans="1:25">
      <c r="A115" s="312"/>
      <c r="B115" s="312"/>
      <c r="C115" s="312"/>
      <c r="D115" s="312"/>
      <c r="E115" s="312"/>
      <c r="F115" s="312"/>
      <c r="G115" s="312"/>
      <c r="H115" s="312"/>
      <c r="I115" s="312"/>
      <c r="J115" s="312"/>
      <c r="K115" s="312"/>
      <c r="L115" s="312"/>
      <c r="M115" s="312"/>
      <c r="N115" s="312"/>
      <c r="O115" s="312"/>
      <c r="P115" s="312"/>
      <c r="Q115" s="312"/>
      <c r="R115" s="312"/>
      <c r="S115" s="312"/>
      <c r="T115" s="312"/>
      <c r="U115" s="312"/>
      <c r="V115" s="312"/>
      <c r="W115" s="312"/>
      <c r="X115" s="312"/>
      <c r="Y115" s="312"/>
    </row>
    <row r="116" ht="18.75" spans="1:25">
      <c r="A116" s="312"/>
      <c r="B116" s="312"/>
      <c r="C116" s="312"/>
      <c r="D116" s="312"/>
      <c r="E116" s="312"/>
      <c r="F116" s="312"/>
      <c r="G116" s="312"/>
      <c r="H116" s="312"/>
      <c r="I116" s="312"/>
      <c r="J116" s="312"/>
      <c r="K116" s="312"/>
      <c r="L116" s="312"/>
      <c r="M116" s="312"/>
      <c r="N116" s="312"/>
      <c r="O116" s="312"/>
      <c r="P116" s="312"/>
      <c r="Q116" s="312"/>
      <c r="R116" s="312"/>
      <c r="S116" s="312"/>
      <c r="T116" s="312"/>
      <c r="U116" s="312"/>
      <c r="V116" s="312"/>
      <c r="W116" s="312"/>
      <c r="X116" s="312"/>
      <c r="Y116" s="312"/>
    </row>
    <row r="117" ht="18.75" spans="1:25">
      <c r="A117" s="312"/>
      <c r="B117" s="312"/>
      <c r="C117" s="312"/>
      <c r="D117" s="312"/>
      <c r="E117" s="312"/>
      <c r="F117" s="312"/>
      <c r="G117" s="312"/>
      <c r="H117" s="312"/>
      <c r="I117" s="312"/>
      <c r="J117" s="312"/>
      <c r="K117" s="312"/>
      <c r="L117" s="312"/>
      <c r="M117" s="312"/>
      <c r="N117" s="312"/>
      <c r="O117" s="312"/>
      <c r="P117" s="312"/>
      <c r="Q117" s="312"/>
      <c r="R117" s="312"/>
      <c r="S117" s="312"/>
      <c r="T117" s="312"/>
      <c r="U117" s="312"/>
      <c r="V117" s="312"/>
      <c r="W117" s="312"/>
      <c r="X117" s="312"/>
      <c r="Y117" s="312"/>
    </row>
    <row r="118" ht="18.75" spans="1:25">
      <c r="A118" s="312"/>
      <c r="B118" s="312"/>
      <c r="C118" s="312"/>
      <c r="D118" s="312"/>
      <c r="E118" s="312"/>
      <c r="F118" s="312"/>
      <c r="G118" s="312"/>
      <c r="H118" s="312"/>
      <c r="I118" s="312"/>
      <c r="J118" s="312"/>
      <c r="K118" s="312"/>
      <c r="L118" s="312"/>
      <c r="M118" s="312"/>
      <c r="N118" s="312"/>
      <c r="O118" s="312"/>
      <c r="P118" s="312"/>
      <c r="Q118" s="312"/>
      <c r="R118" s="312"/>
      <c r="S118" s="312"/>
      <c r="T118" s="312"/>
      <c r="U118" s="312"/>
      <c r="V118" s="312"/>
      <c r="W118" s="312"/>
      <c r="X118" s="312"/>
      <c r="Y118" s="312"/>
    </row>
    <row r="119" ht="18.75" spans="1:25">
      <c r="A119" s="312"/>
      <c r="B119" s="312"/>
      <c r="C119" s="312"/>
      <c r="D119" s="312"/>
      <c r="E119" s="312"/>
      <c r="F119" s="312"/>
      <c r="G119" s="312"/>
      <c r="H119" s="312"/>
      <c r="I119" s="312"/>
      <c r="J119" s="312"/>
      <c r="K119" s="312"/>
      <c r="L119" s="312"/>
      <c r="M119" s="312"/>
      <c r="N119" s="312"/>
      <c r="O119" s="312"/>
      <c r="P119" s="312"/>
      <c r="Q119" s="312"/>
      <c r="R119" s="312"/>
      <c r="S119" s="312"/>
      <c r="T119" s="312"/>
      <c r="U119" s="312"/>
      <c r="V119" s="312"/>
      <c r="W119" s="312"/>
      <c r="X119" s="312"/>
      <c r="Y119" s="312"/>
    </row>
    <row r="120" ht="18.75" spans="1:25">
      <c r="A120" s="312"/>
      <c r="B120" s="312"/>
      <c r="C120" s="312"/>
      <c r="D120" s="312"/>
      <c r="E120" s="312"/>
      <c r="F120" s="312"/>
      <c r="G120" s="312"/>
      <c r="H120" s="312"/>
      <c r="I120" s="312"/>
      <c r="J120" s="312"/>
      <c r="K120" s="312"/>
      <c r="L120" s="312"/>
      <c r="M120" s="312"/>
      <c r="N120" s="312"/>
      <c r="O120" s="312"/>
      <c r="P120" s="312"/>
      <c r="Q120" s="312"/>
      <c r="R120" s="312"/>
      <c r="S120" s="312"/>
      <c r="T120" s="312"/>
      <c r="U120" s="312"/>
      <c r="V120" s="312"/>
      <c r="W120" s="312"/>
      <c r="X120" s="312"/>
      <c r="Y120" s="312"/>
    </row>
    <row r="121" ht="18.75" spans="1:25">
      <c r="A121" s="312"/>
      <c r="B121" s="312"/>
      <c r="C121" s="312"/>
      <c r="D121" s="312"/>
      <c r="E121" s="312"/>
      <c r="F121" s="312"/>
      <c r="G121" s="312"/>
      <c r="H121" s="312"/>
      <c r="I121" s="312"/>
      <c r="J121" s="312"/>
      <c r="K121" s="312"/>
      <c r="L121" s="312"/>
      <c r="M121" s="312"/>
      <c r="N121" s="312"/>
      <c r="O121" s="312"/>
      <c r="P121" s="312"/>
      <c r="Q121" s="312"/>
      <c r="R121" s="312"/>
      <c r="S121" s="312"/>
      <c r="T121" s="312"/>
      <c r="U121" s="312"/>
      <c r="V121" s="312"/>
      <c r="W121" s="312"/>
      <c r="X121" s="312"/>
      <c r="Y121" s="312"/>
    </row>
    <row r="122" ht="18.75" spans="1:25">
      <c r="A122" s="312"/>
      <c r="B122" s="312"/>
      <c r="C122" s="312"/>
      <c r="D122" s="312"/>
      <c r="E122" s="312"/>
      <c r="F122" s="312"/>
      <c r="G122" s="312"/>
      <c r="H122" s="312"/>
      <c r="I122" s="312"/>
      <c r="J122" s="312"/>
      <c r="K122" s="312"/>
      <c r="L122" s="312"/>
      <c r="M122" s="312"/>
      <c r="N122" s="312"/>
      <c r="O122" s="312"/>
      <c r="P122" s="312"/>
      <c r="Q122" s="312"/>
      <c r="R122" s="312"/>
      <c r="S122" s="312"/>
      <c r="T122" s="312"/>
      <c r="U122" s="312"/>
      <c r="V122" s="312"/>
      <c r="W122" s="312"/>
      <c r="X122" s="312"/>
      <c r="Y122" s="312"/>
    </row>
    <row r="123" ht="18.75" spans="1:25">
      <c r="A123" s="312"/>
      <c r="B123" s="312"/>
      <c r="C123" s="312"/>
      <c r="D123" s="312"/>
      <c r="E123" s="312"/>
      <c r="F123" s="312"/>
      <c r="G123" s="312"/>
      <c r="H123" s="312"/>
      <c r="I123" s="312"/>
      <c r="J123" s="312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2"/>
      <c r="X123" s="312"/>
      <c r="Y123" s="312"/>
    </row>
    <row r="124" ht="18.75" spans="1:25">
      <c r="A124" s="312"/>
      <c r="B124" s="312"/>
      <c r="C124" s="312"/>
      <c r="D124" s="312"/>
      <c r="E124" s="312"/>
      <c r="F124" s="312"/>
      <c r="G124" s="312"/>
      <c r="H124" s="312"/>
      <c r="I124" s="312"/>
      <c r="J124" s="312"/>
      <c r="K124" s="312"/>
      <c r="L124" s="312"/>
      <c r="M124" s="312"/>
      <c r="N124" s="312"/>
      <c r="O124" s="312"/>
      <c r="P124" s="312"/>
      <c r="Q124" s="312"/>
      <c r="R124" s="312"/>
      <c r="S124" s="312"/>
      <c r="T124" s="312"/>
      <c r="U124" s="312"/>
      <c r="V124" s="312"/>
      <c r="W124" s="312"/>
      <c r="X124" s="312"/>
      <c r="Y124" s="312"/>
    </row>
    <row r="125" ht="18.75" spans="1:25">
      <c r="A125" s="312"/>
      <c r="B125" s="312"/>
      <c r="C125" s="312"/>
      <c r="D125" s="312"/>
      <c r="E125" s="312"/>
      <c r="F125" s="312"/>
      <c r="G125" s="312"/>
      <c r="H125" s="312"/>
      <c r="I125" s="312"/>
      <c r="J125" s="312"/>
      <c r="K125" s="312"/>
      <c r="L125" s="312"/>
      <c r="M125" s="312"/>
      <c r="N125" s="312"/>
      <c r="O125" s="312"/>
      <c r="P125" s="312"/>
      <c r="Q125" s="312"/>
      <c r="R125" s="312"/>
      <c r="S125" s="312"/>
      <c r="T125" s="312"/>
      <c r="U125" s="312"/>
      <c r="V125" s="312"/>
      <c r="W125" s="312"/>
      <c r="X125" s="312"/>
      <c r="Y125" s="312"/>
    </row>
    <row r="126" ht="18.75" spans="1:25">
      <c r="A126" s="312"/>
      <c r="B126" s="312"/>
      <c r="C126" s="312"/>
      <c r="D126" s="312"/>
      <c r="E126" s="312"/>
      <c r="F126" s="312"/>
      <c r="G126" s="312"/>
      <c r="H126" s="312"/>
      <c r="I126" s="312"/>
      <c r="J126" s="312"/>
      <c r="K126" s="312"/>
      <c r="L126" s="312"/>
      <c r="M126" s="312"/>
      <c r="N126" s="312"/>
      <c r="O126" s="312"/>
      <c r="P126" s="312"/>
      <c r="Q126" s="312"/>
      <c r="R126" s="312"/>
      <c r="S126" s="312"/>
      <c r="T126" s="312"/>
      <c r="U126" s="312"/>
      <c r="V126" s="312"/>
      <c r="W126" s="312"/>
      <c r="X126" s="312"/>
      <c r="Y126" s="312"/>
    </row>
    <row r="127" ht="18.75" spans="1:25">
      <c r="A127" s="312"/>
      <c r="B127" s="312"/>
      <c r="C127" s="312"/>
      <c r="D127" s="312"/>
      <c r="E127" s="312"/>
      <c r="F127" s="312"/>
      <c r="G127" s="312"/>
      <c r="H127" s="312"/>
      <c r="I127" s="312"/>
      <c r="J127" s="312"/>
      <c r="K127" s="312"/>
      <c r="L127" s="312"/>
      <c r="M127" s="312"/>
      <c r="N127" s="312"/>
      <c r="O127" s="312"/>
      <c r="P127" s="312"/>
      <c r="Q127" s="312"/>
      <c r="R127" s="312"/>
      <c r="S127" s="312"/>
      <c r="T127" s="312"/>
      <c r="U127" s="312"/>
      <c r="V127" s="312"/>
      <c r="W127" s="312"/>
      <c r="X127" s="312"/>
      <c r="Y127" s="312"/>
    </row>
    <row r="128" ht="18.75" spans="1:25">
      <c r="A128" s="312"/>
      <c r="B128" s="312"/>
      <c r="C128" s="312"/>
      <c r="D128" s="312"/>
      <c r="E128" s="312"/>
      <c r="F128" s="312"/>
      <c r="G128" s="312"/>
      <c r="H128" s="312"/>
      <c r="I128" s="312"/>
      <c r="J128" s="312"/>
      <c r="K128" s="312"/>
      <c r="L128" s="312"/>
      <c r="M128" s="312"/>
      <c r="N128" s="312"/>
      <c r="O128" s="312"/>
      <c r="P128" s="312"/>
      <c r="Q128" s="312"/>
      <c r="R128" s="312"/>
      <c r="S128" s="312"/>
      <c r="T128" s="312"/>
      <c r="U128" s="312"/>
      <c r="V128" s="312"/>
      <c r="W128" s="312"/>
      <c r="X128" s="312"/>
      <c r="Y128" s="312"/>
    </row>
    <row r="129" ht="18.75" spans="1:25">
      <c r="A129" s="312"/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2"/>
      <c r="M129" s="312"/>
      <c r="N129" s="312"/>
      <c r="O129" s="312"/>
      <c r="P129" s="312"/>
      <c r="Q129" s="312"/>
      <c r="R129" s="312"/>
      <c r="S129" s="312"/>
      <c r="T129" s="312"/>
      <c r="U129" s="312"/>
      <c r="V129" s="312"/>
      <c r="W129" s="312"/>
      <c r="X129" s="312"/>
      <c r="Y129" s="312"/>
    </row>
    <row r="130" ht="18.75" spans="1:25">
      <c r="A130" s="312"/>
      <c r="B130" s="312"/>
      <c r="C130" s="312"/>
      <c r="D130" s="312"/>
      <c r="E130" s="312"/>
      <c r="F130" s="312"/>
      <c r="G130" s="312"/>
      <c r="H130" s="312"/>
      <c r="I130" s="312"/>
      <c r="J130" s="312"/>
      <c r="K130" s="312"/>
      <c r="L130" s="312"/>
      <c r="M130" s="312"/>
      <c r="N130" s="312"/>
      <c r="O130" s="312"/>
      <c r="P130" s="312"/>
      <c r="Q130" s="312"/>
      <c r="R130" s="312"/>
      <c r="S130" s="312"/>
      <c r="T130" s="312"/>
      <c r="U130" s="312"/>
      <c r="V130" s="312"/>
      <c r="W130" s="312"/>
      <c r="X130" s="312"/>
      <c r="Y130" s="312"/>
    </row>
    <row r="131" ht="18.75" spans="1:25">
      <c r="A131" s="312"/>
      <c r="B131" s="312"/>
      <c r="C131" s="312"/>
      <c r="D131" s="312"/>
      <c r="E131" s="312"/>
      <c r="F131" s="312"/>
      <c r="G131" s="312"/>
      <c r="H131" s="312"/>
      <c r="I131" s="312"/>
      <c r="J131" s="312"/>
      <c r="K131" s="312"/>
      <c r="L131" s="312"/>
      <c r="M131" s="312"/>
      <c r="N131" s="312"/>
      <c r="O131" s="312"/>
      <c r="P131" s="312"/>
      <c r="Q131" s="312"/>
      <c r="R131" s="312"/>
      <c r="S131" s="312"/>
      <c r="T131" s="312"/>
      <c r="U131" s="312"/>
      <c r="V131" s="312"/>
      <c r="W131" s="312"/>
      <c r="X131" s="312"/>
      <c r="Y131" s="312"/>
    </row>
    <row r="132" ht="18.75" spans="1:25">
      <c r="A132" s="312"/>
      <c r="B132" s="312"/>
      <c r="C132" s="312"/>
      <c r="D132" s="312"/>
      <c r="E132" s="312"/>
      <c r="F132" s="312"/>
      <c r="G132" s="312"/>
      <c r="H132" s="312"/>
      <c r="I132" s="312"/>
      <c r="J132" s="312"/>
      <c r="K132" s="312"/>
      <c r="L132" s="312"/>
      <c r="M132" s="312"/>
      <c r="N132" s="312"/>
      <c r="O132" s="312"/>
      <c r="P132" s="312"/>
      <c r="Q132" s="312"/>
      <c r="R132" s="312"/>
      <c r="S132" s="312"/>
      <c r="T132" s="312"/>
      <c r="U132" s="312"/>
      <c r="V132" s="312"/>
      <c r="W132" s="312"/>
      <c r="X132" s="312"/>
      <c r="Y132" s="312"/>
    </row>
    <row r="133" ht="18.75" spans="1:25">
      <c r="A133" s="312"/>
      <c r="B133" s="312"/>
      <c r="C133" s="312"/>
      <c r="D133" s="312"/>
      <c r="E133" s="312"/>
      <c r="F133" s="312"/>
      <c r="G133" s="312"/>
      <c r="H133" s="312"/>
      <c r="I133" s="312"/>
      <c r="J133" s="312"/>
      <c r="K133" s="312"/>
      <c r="L133" s="312"/>
      <c r="M133" s="312"/>
      <c r="N133" s="312"/>
      <c r="O133" s="312"/>
      <c r="P133" s="312"/>
      <c r="Q133" s="312"/>
      <c r="R133" s="312"/>
      <c r="S133" s="312"/>
      <c r="T133" s="312"/>
      <c r="U133" s="312"/>
      <c r="V133" s="312"/>
      <c r="W133" s="312"/>
      <c r="X133" s="312"/>
      <c r="Y133" s="312"/>
    </row>
    <row r="134" ht="18.75" spans="1:25">
      <c r="A134" s="312"/>
      <c r="B134" s="312"/>
      <c r="C134" s="312"/>
      <c r="D134" s="312"/>
      <c r="E134" s="312"/>
      <c r="F134" s="312"/>
      <c r="G134" s="312"/>
      <c r="H134" s="312"/>
      <c r="I134" s="312"/>
      <c r="J134" s="312"/>
      <c r="K134" s="312"/>
      <c r="L134" s="312"/>
      <c r="M134" s="312"/>
      <c r="N134" s="312"/>
      <c r="O134" s="312"/>
      <c r="P134" s="312"/>
      <c r="Q134" s="312"/>
      <c r="R134" s="312"/>
      <c r="S134" s="312"/>
      <c r="T134" s="312"/>
      <c r="U134" s="312"/>
      <c r="V134" s="312"/>
      <c r="W134" s="312"/>
      <c r="X134" s="312"/>
      <c r="Y134" s="312"/>
    </row>
    <row r="135" ht="18.75" spans="1:25">
      <c r="A135" s="312"/>
      <c r="B135" s="312"/>
      <c r="C135" s="312"/>
      <c r="D135" s="312"/>
      <c r="E135" s="312"/>
      <c r="F135" s="312"/>
      <c r="G135" s="312"/>
      <c r="H135" s="312"/>
      <c r="I135" s="312"/>
      <c r="J135" s="312"/>
      <c r="K135" s="312"/>
      <c r="L135" s="312"/>
      <c r="M135" s="312"/>
      <c r="N135" s="312"/>
      <c r="O135" s="312"/>
      <c r="P135" s="312"/>
      <c r="Q135" s="312"/>
      <c r="R135" s="312"/>
      <c r="S135" s="312"/>
      <c r="T135" s="312"/>
      <c r="U135" s="312"/>
      <c r="V135" s="312"/>
      <c r="W135" s="312"/>
      <c r="X135" s="312"/>
      <c r="Y135" s="312"/>
    </row>
    <row r="136" ht="18.75" spans="1:25">
      <c r="A136" s="312"/>
      <c r="B136" s="312"/>
      <c r="C136" s="312"/>
      <c r="D136" s="312"/>
      <c r="E136" s="312"/>
      <c r="F136" s="312"/>
      <c r="G136" s="312"/>
      <c r="H136" s="312"/>
      <c r="I136" s="312"/>
      <c r="J136" s="312"/>
      <c r="K136" s="312"/>
      <c r="L136" s="312"/>
      <c r="M136" s="312"/>
      <c r="N136" s="312"/>
      <c r="O136" s="312"/>
      <c r="P136" s="312"/>
      <c r="Q136" s="312"/>
      <c r="R136" s="312"/>
      <c r="S136" s="312"/>
      <c r="T136" s="312"/>
      <c r="U136" s="312"/>
      <c r="V136" s="312"/>
      <c r="W136" s="312"/>
      <c r="X136" s="312"/>
      <c r="Y136" s="312"/>
    </row>
    <row r="137" ht="18.75" spans="1:25">
      <c r="A137" s="312"/>
      <c r="B137" s="312"/>
      <c r="C137" s="312"/>
      <c r="D137" s="312"/>
      <c r="E137" s="312"/>
      <c r="F137" s="312"/>
      <c r="G137" s="312"/>
      <c r="H137" s="312"/>
      <c r="I137" s="312"/>
      <c r="J137" s="312"/>
      <c r="K137" s="312"/>
      <c r="L137" s="312"/>
      <c r="M137" s="312"/>
      <c r="N137" s="312"/>
      <c r="O137" s="312"/>
      <c r="P137" s="312"/>
      <c r="Q137" s="312"/>
      <c r="R137" s="312"/>
      <c r="S137" s="312"/>
      <c r="T137" s="312"/>
      <c r="U137" s="312"/>
      <c r="V137" s="312"/>
      <c r="W137" s="312"/>
      <c r="X137" s="312"/>
      <c r="Y137" s="312"/>
    </row>
    <row r="138" ht="18.75" spans="1:25">
      <c r="A138" s="312"/>
      <c r="B138" s="312"/>
      <c r="C138" s="312"/>
      <c r="D138" s="312"/>
      <c r="E138" s="312"/>
      <c r="F138" s="312"/>
      <c r="G138" s="312"/>
      <c r="H138" s="312"/>
      <c r="I138" s="312"/>
      <c r="J138" s="312"/>
      <c r="K138" s="312"/>
      <c r="L138" s="312"/>
      <c r="M138" s="312"/>
      <c r="N138" s="312"/>
      <c r="O138" s="312"/>
      <c r="P138" s="312"/>
      <c r="Q138" s="312"/>
      <c r="R138" s="312"/>
      <c r="S138" s="312"/>
      <c r="T138" s="312"/>
      <c r="U138" s="312"/>
      <c r="V138" s="312"/>
      <c r="W138" s="312"/>
      <c r="X138" s="312"/>
      <c r="Y138" s="312"/>
    </row>
    <row r="139" ht="18.75" spans="1:25">
      <c r="A139" s="312"/>
      <c r="B139" s="312"/>
      <c r="C139" s="312"/>
      <c r="D139" s="312"/>
      <c r="E139" s="312"/>
      <c r="F139" s="312"/>
      <c r="G139" s="312"/>
      <c r="H139" s="312"/>
      <c r="I139" s="312"/>
      <c r="J139" s="312"/>
      <c r="K139" s="312"/>
      <c r="L139" s="312"/>
      <c r="M139" s="312"/>
      <c r="N139" s="312"/>
      <c r="O139" s="312"/>
      <c r="P139" s="312"/>
      <c r="Q139" s="312"/>
      <c r="R139" s="312"/>
      <c r="S139" s="312"/>
      <c r="T139" s="312"/>
      <c r="U139" s="312"/>
      <c r="V139" s="312"/>
      <c r="W139" s="312"/>
      <c r="X139" s="312"/>
      <c r="Y139" s="312"/>
    </row>
    <row r="140" ht="18.75" spans="1:25">
      <c r="A140" s="312"/>
      <c r="B140" s="312"/>
      <c r="C140" s="312"/>
      <c r="D140" s="312"/>
      <c r="E140" s="312"/>
      <c r="F140" s="312"/>
      <c r="G140" s="312"/>
      <c r="H140" s="312"/>
      <c r="I140" s="312"/>
      <c r="J140" s="312"/>
      <c r="K140" s="312"/>
      <c r="L140" s="312"/>
      <c r="M140" s="312"/>
      <c r="N140" s="312"/>
      <c r="O140" s="312"/>
      <c r="P140" s="312"/>
      <c r="Q140" s="312"/>
      <c r="R140" s="312"/>
      <c r="S140" s="312"/>
      <c r="T140" s="312"/>
      <c r="U140" s="312"/>
      <c r="V140" s="312"/>
      <c r="W140" s="312"/>
      <c r="X140" s="312"/>
      <c r="Y140" s="312"/>
    </row>
    <row r="141" ht="18.75" spans="1:25">
      <c r="A141" s="312"/>
      <c r="B141" s="312"/>
      <c r="C141" s="312"/>
      <c r="D141" s="312"/>
      <c r="E141" s="312"/>
      <c r="F141" s="312"/>
      <c r="G141" s="312"/>
      <c r="H141" s="312"/>
      <c r="I141" s="312"/>
      <c r="J141" s="312"/>
      <c r="K141" s="312"/>
      <c r="L141" s="312"/>
      <c r="M141" s="312"/>
      <c r="N141" s="312"/>
      <c r="O141" s="312"/>
      <c r="P141" s="312"/>
      <c r="Q141" s="312"/>
      <c r="R141" s="312"/>
      <c r="S141" s="312"/>
      <c r="T141" s="312"/>
      <c r="U141" s="312"/>
      <c r="V141" s="312"/>
      <c r="W141" s="312"/>
      <c r="X141" s="312"/>
      <c r="Y141" s="312"/>
    </row>
    <row r="142" ht="18.75" spans="1:25">
      <c r="A142" s="312"/>
      <c r="B142" s="312"/>
      <c r="C142" s="312"/>
      <c r="D142" s="312"/>
      <c r="E142" s="312"/>
      <c r="F142" s="312"/>
      <c r="G142" s="312"/>
      <c r="H142" s="312"/>
      <c r="I142" s="312"/>
      <c r="J142" s="312"/>
      <c r="K142" s="312"/>
      <c r="L142" s="312"/>
      <c r="M142" s="312"/>
      <c r="N142" s="312"/>
      <c r="O142" s="312"/>
      <c r="P142" s="312"/>
      <c r="Q142" s="312"/>
      <c r="R142" s="312"/>
      <c r="S142" s="312"/>
      <c r="T142" s="312"/>
      <c r="U142" s="312"/>
      <c r="V142" s="312"/>
      <c r="W142" s="312"/>
      <c r="X142" s="312"/>
      <c r="Y142" s="312"/>
    </row>
    <row r="143" ht="18.75" spans="1:25">
      <c r="A143" s="312"/>
      <c r="B143" s="312"/>
      <c r="C143" s="312"/>
      <c r="D143" s="312"/>
      <c r="E143" s="312"/>
      <c r="F143" s="312"/>
      <c r="G143" s="312"/>
      <c r="H143" s="312"/>
      <c r="I143" s="312"/>
      <c r="J143" s="312"/>
      <c r="K143" s="312"/>
      <c r="L143" s="312"/>
      <c r="M143" s="312"/>
      <c r="N143" s="312"/>
      <c r="O143" s="312"/>
      <c r="P143" s="312"/>
      <c r="Q143" s="312"/>
      <c r="R143" s="312"/>
      <c r="S143" s="312"/>
      <c r="T143" s="312"/>
      <c r="U143" s="312"/>
      <c r="V143" s="312"/>
      <c r="W143" s="312"/>
      <c r="X143" s="312"/>
      <c r="Y143" s="312"/>
    </row>
    <row r="144" ht="18.75" spans="1:25">
      <c r="A144" s="312"/>
      <c r="B144" s="312"/>
      <c r="C144" s="312"/>
      <c r="D144" s="312"/>
      <c r="E144" s="312"/>
      <c r="F144" s="312"/>
      <c r="G144" s="312"/>
      <c r="H144" s="312"/>
      <c r="I144" s="312"/>
      <c r="J144" s="312"/>
      <c r="K144" s="312"/>
      <c r="L144" s="312"/>
      <c r="M144" s="312"/>
      <c r="N144" s="312"/>
      <c r="O144" s="312"/>
      <c r="P144" s="312"/>
      <c r="Q144" s="312"/>
      <c r="R144" s="312"/>
      <c r="S144" s="312"/>
      <c r="T144" s="312"/>
      <c r="U144" s="312"/>
      <c r="V144" s="312"/>
      <c r="W144" s="312"/>
      <c r="X144" s="312"/>
      <c r="Y144" s="312"/>
    </row>
    <row r="145" ht="18.75" spans="1:25">
      <c r="A145" s="312"/>
      <c r="B145" s="312"/>
      <c r="C145" s="312"/>
      <c r="D145" s="312"/>
      <c r="E145" s="312"/>
      <c r="F145" s="312"/>
      <c r="G145" s="312"/>
      <c r="H145" s="312"/>
      <c r="I145" s="312"/>
      <c r="J145" s="312"/>
      <c r="K145" s="312"/>
      <c r="L145" s="312"/>
      <c r="M145" s="312"/>
      <c r="N145" s="312"/>
      <c r="O145" s="312"/>
      <c r="P145" s="312"/>
      <c r="Q145" s="312"/>
      <c r="R145" s="312"/>
      <c r="S145" s="312"/>
      <c r="T145" s="312"/>
      <c r="U145" s="312"/>
      <c r="V145" s="312"/>
      <c r="W145" s="312"/>
      <c r="X145" s="312"/>
      <c r="Y145" s="312"/>
    </row>
    <row r="146" ht="18.75" spans="1:25">
      <c r="A146" s="312"/>
      <c r="B146" s="312"/>
      <c r="C146" s="312"/>
      <c r="D146" s="312"/>
      <c r="E146" s="312"/>
      <c r="F146" s="312"/>
      <c r="G146" s="312"/>
      <c r="H146" s="312"/>
      <c r="I146" s="312"/>
      <c r="J146" s="312"/>
      <c r="K146" s="312"/>
      <c r="L146" s="312"/>
      <c r="M146" s="312"/>
      <c r="N146" s="312"/>
      <c r="O146" s="312"/>
      <c r="P146" s="312"/>
      <c r="Q146" s="312"/>
      <c r="R146" s="312"/>
      <c r="S146" s="312"/>
      <c r="T146" s="312"/>
      <c r="U146" s="312"/>
      <c r="V146" s="312"/>
      <c r="W146" s="312"/>
      <c r="X146" s="312"/>
      <c r="Y146" s="312"/>
    </row>
    <row r="147" ht="18.75" spans="1:25">
      <c r="A147" s="312"/>
      <c r="B147" s="312"/>
      <c r="C147" s="312"/>
      <c r="D147" s="312"/>
      <c r="E147" s="312"/>
      <c r="F147" s="312"/>
      <c r="G147" s="312"/>
      <c r="H147" s="312"/>
      <c r="I147" s="312"/>
      <c r="J147" s="312"/>
      <c r="K147" s="312"/>
      <c r="L147" s="312"/>
      <c r="M147" s="312"/>
      <c r="N147" s="312"/>
      <c r="O147" s="312"/>
      <c r="P147" s="312"/>
      <c r="Q147" s="312"/>
      <c r="R147" s="312"/>
      <c r="S147" s="312"/>
      <c r="T147" s="312"/>
      <c r="U147" s="312"/>
      <c r="V147" s="312"/>
      <c r="W147" s="312"/>
      <c r="X147" s="312"/>
      <c r="Y147" s="312"/>
    </row>
    <row r="148" ht="18.75" spans="1:25">
      <c r="A148" s="312"/>
      <c r="B148" s="312"/>
      <c r="C148" s="312"/>
      <c r="D148" s="312"/>
      <c r="E148" s="312"/>
      <c r="F148" s="312"/>
      <c r="G148" s="312"/>
      <c r="H148" s="312"/>
      <c r="I148" s="312"/>
      <c r="J148" s="312"/>
      <c r="K148" s="312"/>
      <c r="L148" s="312"/>
      <c r="M148" s="312"/>
      <c r="N148" s="312"/>
      <c r="O148" s="312"/>
      <c r="P148" s="312"/>
      <c r="Q148" s="312"/>
      <c r="R148" s="312"/>
      <c r="S148" s="312"/>
      <c r="T148" s="312"/>
      <c r="U148" s="312"/>
      <c r="V148" s="312"/>
      <c r="W148" s="312"/>
      <c r="X148" s="312"/>
      <c r="Y148" s="312"/>
    </row>
    <row r="149" ht="18.75" spans="1:25">
      <c r="A149" s="312"/>
      <c r="B149" s="312"/>
      <c r="C149" s="312"/>
      <c r="D149" s="312"/>
      <c r="E149" s="312"/>
      <c r="F149" s="312"/>
      <c r="G149" s="312"/>
      <c r="H149" s="312"/>
      <c r="I149" s="312"/>
      <c r="J149" s="312"/>
      <c r="K149" s="312"/>
      <c r="L149" s="312"/>
      <c r="M149" s="312"/>
      <c r="N149" s="312"/>
      <c r="O149" s="312"/>
      <c r="P149" s="312"/>
      <c r="Q149" s="312"/>
      <c r="R149" s="312"/>
      <c r="S149" s="312"/>
      <c r="T149" s="312"/>
      <c r="U149" s="312"/>
      <c r="V149" s="312"/>
      <c r="W149" s="312"/>
      <c r="X149" s="312"/>
      <c r="Y149" s="312"/>
    </row>
    <row r="150" ht="18.75" spans="1:25">
      <c r="A150" s="312"/>
      <c r="B150" s="312"/>
      <c r="C150" s="312"/>
      <c r="D150" s="312"/>
      <c r="E150" s="312"/>
      <c r="F150" s="312"/>
      <c r="G150" s="312"/>
      <c r="H150" s="312"/>
      <c r="I150" s="312"/>
      <c r="J150" s="312"/>
      <c r="K150" s="312"/>
      <c r="L150" s="312"/>
      <c r="M150" s="312"/>
      <c r="N150" s="312"/>
      <c r="O150" s="312"/>
      <c r="P150" s="312"/>
      <c r="Q150" s="312"/>
      <c r="R150" s="312"/>
      <c r="S150" s="312"/>
      <c r="T150" s="312"/>
      <c r="U150" s="312"/>
      <c r="V150" s="312"/>
      <c r="W150" s="312"/>
      <c r="X150" s="312"/>
      <c r="Y150" s="312"/>
    </row>
    <row r="151" ht="18.75" spans="1:25">
      <c r="A151" s="312"/>
      <c r="B151" s="312"/>
      <c r="C151" s="312"/>
      <c r="D151" s="312"/>
      <c r="E151" s="312"/>
      <c r="F151" s="312"/>
      <c r="G151" s="312"/>
      <c r="H151" s="312"/>
      <c r="I151" s="312"/>
      <c r="J151" s="312"/>
      <c r="K151" s="312"/>
      <c r="L151" s="312"/>
      <c r="M151" s="312"/>
      <c r="N151" s="312"/>
      <c r="O151" s="312"/>
      <c r="P151" s="312"/>
      <c r="Q151" s="312"/>
      <c r="R151" s="312"/>
      <c r="S151" s="312"/>
      <c r="T151" s="312"/>
      <c r="U151" s="312"/>
      <c r="V151" s="312"/>
      <c r="W151" s="312"/>
      <c r="X151" s="312"/>
      <c r="Y151" s="312"/>
    </row>
    <row r="152" ht="18.75" spans="1:25">
      <c r="A152" s="312"/>
      <c r="B152" s="312"/>
      <c r="C152" s="312"/>
      <c r="D152" s="312"/>
      <c r="E152" s="312"/>
      <c r="F152" s="312"/>
      <c r="G152" s="312"/>
      <c r="H152" s="312"/>
      <c r="I152" s="312"/>
      <c r="J152" s="312"/>
      <c r="K152" s="312"/>
      <c r="L152" s="312"/>
      <c r="M152" s="312"/>
      <c r="N152" s="312"/>
      <c r="O152" s="312"/>
      <c r="P152" s="312"/>
      <c r="Q152" s="312"/>
      <c r="R152" s="312"/>
      <c r="S152" s="312"/>
      <c r="T152" s="312"/>
      <c r="U152" s="312"/>
      <c r="V152" s="312"/>
      <c r="W152" s="312"/>
      <c r="X152" s="312"/>
      <c r="Y152" s="312"/>
    </row>
    <row r="153" ht="18.75" spans="1:25">
      <c r="A153" s="312"/>
      <c r="B153" s="312"/>
      <c r="C153" s="312"/>
      <c r="D153" s="312"/>
      <c r="E153" s="312"/>
      <c r="F153" s="312"/>
      <c r="G153" s="312"/>
      <c r="H153" s="312"/>
      <c r="I153" s="312"/>
      <c r="J153" s="312"/>
      <c r="K153" s="312"/>
      <c r="L153" s="312"/>
      <c r="M153" s="312"/>
      <c r="N153" s="312"/>
      <c r="O153" s="312"/>
      <c r="P153" s="312"/>
      <c r="Q153" s="312"/>
      <c r="R153" s="312"/>
      <c r="S153" s="312"/>
      <c r="T153" s="312"/>
      <c r="U153" s="312"/>
      <c r="V153" s="312"/>
      <c r="W153" s="312"/>
      <c r="X153" s="312"/>
      <c r="Y153" s="312"/>
    </row>
    <row r="154" ht="18.75" spans="1:25">
      <c r="A154" s="312"/>
      <c r="B154" s="312"/>
      <c r="C154" s="312"/>
      <c r="D154" s="312"/>
      <c r="E154" s="312"/>
      <c r="F154" s="312"/>
      <c r="G154" s="312"/>
      <c r="H154" s="312"/>
      <c r="I154" s="312"/>
      <c r="J154" s="312"/>
      <c r="K154" s="312"/>
      <c r="L154" s="312"/>
      <c r="M154" s="312"/>
      <c r="N154" s="312"/>
      <c r="O154" s="312"/>
      <c r="P154" s="312"/>
      <c r="Q154" s="312"/>
      <c r="R154" s="312"/>
      <c r="S154" s="312"/>
      <c r="T154" s="312"/>
      <c r="U154" s="312"/>
      <c r="V154" s="312"/>
      <c r="W154" s="312"/>
      <c r="X154" s="312"/>
      <c r="Y154" s="312"/>
    </row>
    <row r="155" ht="18.75" spans="1:25">
      <c r="A155" s="312"/>
      <c r="B155" s="312"/>
      <c r="C155" s="312"/>
      <c r="D155" s="312"/>
      <c r="E155" s="312"/>
      <c r="F155" s="312"/>
      <c r="G155" s="312"/>
      <c r="H155" s="312"/>
      <c r="I155" s="312"/>
      <c r="J155" s="312"/>
      <c r="K155" s="312"/>
      <c r="L155" s="312"/>
      <c r="M155" s="312"/>
      <c r="N155" s="312"/>
      <c r="O155" s="312"/>
      <c r="P155" s="312"/>
      <c r="Q155" s="312"/>
      <c r="R155" s="312"/>
      <c r="S155" s="312"/>
      <c r="T155" s="312"/>
      <c r="U155" s="312"/>
      <c r="V155" s="312"/>
      <c r="W155" s="312"/>
      <c r="X155" s="312"/>
      <c r="Y155" s="312"/>
    </row>
    <row r="156" ht="18.75" spans="1:25">
      <c r="A156" s="312"/>
      <c r="B156" s="312"/>
      <c r="C156" s="312"/>
      <c r="D156" s="312"/>
      <c r="E156" s="312"/>
      <c r="F156" s="312"/>
      <c r="G156" s="312"/>
      <c r="H156" s="312"/>
      <c r="I156" s="312"/>
      <c r="J156" s="312"/>
      <c r="K156" s="312"/>
      <c r="L156" s="312"/>
      <c r="M156" s="312"/>
      <c r="N156" s="312"/>
      <c r="O156" s="312"/>
      <c r="P156" s="312"/>
      <c r="Q156" s="312"/>
      <c r="R156" s="312"/>
      <c r="S156" s="312"/>
      <c r="T156" s="312"/>
      <c r="U156" s="312"/>
      <c r="V156" s="312"/>
      <c r="W156" s="312"/>
      <c r="X156" s="312"/>
      <c r="Y156" s="312"/>
    </row>
    <row r="157" ht="18.75" spans="1:25">
      <c r="A157" s="312"/>
      <c r="B157" s="312"/>
      <c r="C157" s="312"/>
      <c r="D157" s="312"/>
      <c r="E157" s="312"/>
      <c r="F157" s="312"/>
      <c r="G157" s="312"/>
      <c r="H157" s="312"/>
      <c r="I157" s="312"/>
      <c r="J157" s="312"/>
      <c r="K157" s="312"/>
      <c r="L157" s="312"/>
      <c r="M157" s="312"/>
      <c r="N157" s="312"/>
      <c r="O157" s="312"/>
      <c r="P157" s="312"/>
      <c r="Q157" s="312"/>
      <c r="R157" s="312"/>
      <c r="S157" s="312"/>
      <c r="T157" s="312"/>
      <c r="U157" s="312"/>
      <c r="V157" s="312"/>
      <c r="W157" s="312"/>
      <c r="X157" s="312"/>
      <c r="Y157" s="312"/>
    </row>
    <row r="158" ht="18.75" spans="1:25">
      <c r="A158" s="312"/>
      <c r="B158" s="312"/>
      <c r="C158" s="312"/>
      <c r="D158" s="312"/>
      <c r="E158" s="312"/>
      <c r="F158" s="312"/>
      <c r="G158" s="312"/>
      <c r="H158" s="312"/>
      <c r="I158" s="312"/>
      <c r="J158" s="312"/>
      <c r="K158" s="312"/>
      <c r="L158" s="312"/>
      <c r="M158" s="312"/>
      <c r="N158" s="312"/>
      <c r="O158" s="312"/>
      <c r="P158" s="312"/>
      <c r="Q158" s="312"/>
      <c r="R158" s="312"/>
      <c r="S158" s="312"/>
      <c r="T158" s="312"/>
      <c r="U158" s="312"/>
      <c r="V158" s="312"/>
      <c r="W158" s="312"/>
      <c r="X158" s="312"/>
      <c r="Y158" s="312"/>
    </row>
    <row r="159" ht="18.75" spans="1:25">
      <c r="A159" s="312"/>
      <c r="B159" s="312"/>
      <c r="C159" s="312"/>
      <c r="D159" s="312"/>
      <c r="E159" s="312"/>
      <c r="F159" s="312"/>
      <c r="G159" s="312"/>
      <c r="H159" s="312"/>
      <c r="I159" s="312"/>
      <c r="J159" s="312"/>
      <c r="K159" s="312"/>
      <c r="L159" s="312"/>
      <c r="M159" s="312"/>
      <c r="N159" s="312"/>
      <c r="O159" s="312"/>
      <c r="P159" s="312"/>
      <c r="Q159" s="312"/>
      <c r="R159" s="312"/>
      <c r="S159" s="312"/>
      <c r="T159" s="312"/>
      <c r="U159" s="312"/>
      <c r="V159" s="312"/>
      <c r="W159" s="312"/>
      <c r="X159" s="312"/>
      <c r="Y159" s="312"/>
    </row>
    <row r="160" ht="18.75" spans="1:25">
      <c r="A160" s="312"/>
      <c r="B160" s="312"/>
      <c r="C160" s="312"/>
      <c r="D160" s="312"/>
      <c r="E160" s="312"/>
      <c r="F160" s="312"/>
      <c r="G160" s="312"/>
      <c r="H160" s="312"/>
      <c r="I160" s="312"/>
      <c r="J160" s="312"/>
      <c r="K160" s="312"/>
      <c r="L160" s="312"/>
      <c r="M160" s="312"/>
      <c r="N160" s="312"/>
      <c r="O160" s="312"/>
      <c r="P160" s="312"/>
      <c r="Q160" s="312"/>
      <c r="R160" s="312"/>
      <c r="S160" s="312"/>
      <c r="T160" s="312"/>
      <c r="U160" s="312"/>
      <c r="V160" s="312"/>
      <c r="W160" s="312"/>
      <c r="X160" s="312"/>
      <c r="Y160" s="312"/>
    </row>
    <row r="161" ht="18.75" spans="1:25">
      <c r="A161" s="312"/>
      <c r="B161" s="312"/>
      <c r="C161" s="312"/>
      <c r="D161" s="312"/>
      <c r="E161" s="312"/>
      <c r="F161" s="312"/>
      <c r="G161" s="312"/>
      <c r="H161" s="312"/>
      <c r="I161" s="312"/>
      <c r="J161" s="312"/>
      <c r="K161" s="312"/>
      <c r="L161" s="312"/>
      <c r="M161" s="312"/>
      <c r="N161" s="312"/>
      <c r="O161" s="312"/>
      <c r="P161" s="312"/>
      <c r="Q161" s="312"/>
      <c r="R161" s="312"/>
      <c r="S161" s="312"/>
      <c r="T161" s="312"/>
      <c r="U161" s="312"/>
      <c r="V161" s="312"/>
      <c r="W161" s="312"/>
      <c r="X161" s="312"/>
      <c r="Y161" s="312"/>
    </row>
    <row r="162" ht="18.75" spans="1:25">
      <c r="A162" s="312"/>
      <c r="B162" s="312"/>
      <c r="C162" s="312"/>
      <c r="D162" s="312"/>
      <c r="E162" s="312"/>
      <c r="F162" s="312"/>
      <c r="G162" s="312"/>
      <c r="H162" s="312"/>
      <c r="I162" s="312"/>
      <c r="J162" s="312"/>
      <c r="K162" s="312"/>
      <c r="L162" s="312"/>
      <c r="M162" s="312"/>
      <c r="N162" s="312"/>
      <c r="O162" s="312"/>
      <c r="P162" s="312"/>
      <c r="Q162" s="312"/>
      <c r="R162" s="312"/>
      <c r="S162" s="312"/>
      <c r="T162" s="312"/>
      <c r="U162" s="312"/>
      <c r="V162" s="312"/>
      <c r="W162" s="312"/>
      <c r="X162" s="312"/>
      <c r="Y162" s="312"/>
    </row>
    <row r="163" ht="18.75" spans="1:25">
      <c r="A163" s="312"/>
      <c r="B163" s="312"/>
      <c r="C163" s="312"/>
      <c r="D163" s="312"/>
      <c r="E163" s="312"/>
      <c r="F163" s="312"/>
      <c r="G163" s="312"/>
      <c r="H163" s="312"/>
      <c r="I163" s="312"/>
      <c r="J163" s="312"/>
      <c r="K163" s="312"/>
      <c r="L163" s="312"/>
      <c r="M163" s="312"/>
      <c r="N163" s="312"/>
      <c r="O163" s="312"/>
      <c r="P163" s="312"/>
      <c r="Q163" s="312"/>
      <c r="R163" s="312"/>
      <c r="S163" s="312"/>
      <c r="T163" s="312"/>
      <c r="U163" s="312"/>
      <c r="V163" s="312"/>
      <c r="W163" s="312"/>
      <c r="X163" s="312"/>
      <c r="Y163" s="312"/>
    </row>
    <row r="164" ht="18.75" spans="1:25">
      <c r="A164" s="312"/>
      <c r="B164" s="312"/>
      <c r="C164" s="312"/>
      <c r="D164" s="312"/>
      <c r="E164" s="312"/>
      <c r="F164" s="312"/>
      <c r="G164" s="312"/>
      <c r="H164" s="312"/>
      <c r="I164" s="312"/>
      <c r="J164" s="312"/>
      <c r="K164" s="312"/>
      <c r="L164" s="312"/>
      <c r="M164" s="312"/>
      <c r="N164" s="312"/>
      <c r="O164" s="312"/>
      <c r="P164" s="312"/>
      <c r="Q164" s="312"/>
      <c r="R164" s="312"/>
      <c r="S164" s="312"/>
      <c r="T164" s="312"/>
      <c r="U164" s="312"/>
      <c r="V164" s="312"/>
      <c r="W164" s="312"/>
      <c r="X164" s="312"/>
      <c r="Y164" s="312"/>
    </row>
    <row r="165" ht="18.75" spans="1:25">
      <c r="A165" s="312"/>
      <c r="B165" s="312"/>
      <c r="C165" s="312"/>
      <c r="D165" s="312"/>
      <c r="E165" s="312"/>
      <c r="F165" s="312"/>
      <c r="G165" s="312"/>
      <c r="H165" s="312"/>
      <c r="I165" s="312"/>
      <c r="J165" s="312"/>
      <c r="K165" s="312"/>
      <c r="L165" s="312"/>
      <c r="M165" s="312"/>
      <c r="N165" s="312"/>
      <c r="O165" s="312"/>
      <c r="P165" s="312"/>
      <c r="Q165" s="312"/>
      <c r="R165" s="312"/>
      <c r="S165" s="312"/>
      <c r="T165" s="312"/>
      <c r="U165" s="312"/>
      <c r="V165" s="312"/>
      <c r="W165" s="312"/>
      <c r="X165" s="312"/>
      <c r="Y165" s="312"/>
    </row>
    <row r="166" ht="18.75" spans="1:25">
      <c r="A166" s="312"/>
      <c r="B166" s="312"/>
      <c r="C166" s="312"/>
      <c r="D166" s="312"/>
      <c r="E166" s="312"/>
      <c r="F166" s="312"/>
      <c r="G166" s="312"/>
      <c r="H166" s="312"/>
      <c r="I166" s="312"/>
      <c r="J166" s="312"/>
      <c r="K166" s="312"/>
      <c r="L166" s="312"/>
      <c r="M166" s="312"/>
      <c r="N166" s="312"/>
      <c r="O166" s="312"/>
      <c r="P166" s="312"/>
      <c r="Q166" s="312"/>
      <c r="R166" s="312"/>
      <c r="S166" s="312"/>
      <c r="T166" s="312"/>
      <c r="U166" s="312"/>
      <c r="V166" s="312"/>
      <c r="W166" s="312"/>
      <c r="X166" s="312"/>
      <c r="Y166" s="312"/>
    </row>
    <row r="167" ht="18.75" spans="1:25">
      <c r="A167" s="312"/>
      <c r="B167" s="312"/>
      <c r="C167" s="312"/>
      <c r="D167" s="312"/>
      <c r="E167" s="312"/>
      <c r="F167" s="312"/>
      <c r="G167" s="312"/>
      <c r="H167" s="312"/>
      <c r="I167" s="312"/>
      <c r="J167" s="312"/>
      <c r="K167" s="312"/>
      <c r="L167" s="312"/>
      <c r="M167" s="312"/>
      <c r="N167" s="312"/>
      <c r="O167" s="312"/>
      <c r="P167" s="312"/>
      <c r="Q167" s="312"/>
      <c r="R167" s="312"/>
      <c r="S167" s="312"/>
      <c r="T167" s="312"/>
      <c r="U167" s="312"/>
      <c r="V167" s="312"/>
      <c r="W167" s="312"/>
      <c r="X167" s="312"/>
      <c r="Y167" s="312"/>
    </row>
    <row r="168" ht="18.75" spans="1:25">
      <c r="A168" s="312"/>
      <c r="B168" s="312"/>
      <c r="C168" s="312"/>
      <c r="D168" s="312"/>
      <c r="E168" s="312"/>
      <c r="F168" s="312"/>
      <c r="G168" s="312"/>
      <c r="H168" s="312"/>
      <c r="I168" s="312"/>
      <c r="J168" s="312"/>
      <c r="K168" s="312"/>
      <c r="L168" s="312"/>
      <c r="M168" s="312"/>
      <c r="N168" s="312"/>
      <c r="O168" s="312"/>
      <c r="P168" s="312"/>
      <c r="Q168" s="312"/>
      <c r="R168" s="312"/>
      <c r="S168" s="312"/>
      <c r="T168" s="312"/>
      <c r="U168" s="312"/>
      <c r="V168" s="312"/>
      <c r="W168" s="312"/>
      <c r="X168" s="312"/>
      <c r="Y168" s="312"/>
    </row>
    <row r="169" ht="18.75" spans="1:25">
      <c r="A169" s="312"/>
      <c r="B169" s="312"/>
      <c r="C169" s="312"/>
      <c r="D169" s="312"/>
      <c r="E169" s="312"/>
      <c r="F169" s="312"/>
      <c r="G169" s="312"/>
      <c r="H169" s="312"/>
      <c r="I169" s="312"/>
      <c r="J169" s="312"/>
      <c r="K169" s="312"/>
      <c r="L169" s="312"/>
      <c r="M169" s="312"/>
      <c r="N169" s="312"/>
      <c r="O169" s="312"/>
      <c r="P169" s="312"/>
      <c r="Q169" s="312"/>
      <c r="R169" s="312"/>
      <c r="S169" s="312"/>
      <c r="T169" s="312"/>
      <c r="U169" s="312"/>
      <c r="V169" s="312"/>
      <c r="W169" s="312"/>
      <c r="X169" s="312"/>
      <c r="Y169" s="312"/>
    </row>
    <row r="170" ht="18.75" spans="1:25">
      <c r="A170" s="312"/>
      <c r="B170" s="312"/>
      <c r="C170" s="312"/>
      <c r="D170" s="312"/>
      <c r="E170" s="312"/>
      <c r="F170" s="312"/>
      <c r="G170" s="312"/>
      <c r="H170" s="312"/>
      <c r="I170" s="312"/>
      <c r="J170" s="312"/>
      <c r="K170" s="312"/>
      <c r="L170" s="312"/>
      <c r="M170" s="312"/>
      <c r="N170" s="312"/>
      <c r="O170" s="312"/>
      <c r="P170" s="312"/>
      <c r="Q170" s="312"/>
      <c r="R170" s="312"/>
      <c r="S170" s="312"/>
      <c r="T170" s="312"/>
      <c r="U170" s="312"/>
      <c r="V170" s="312"/>
      <c r="W170" s="312"/>
      <c r="X170" s="312"/>
      <c r="Y170" s="312"/>
    </row>
    <row r="171" ht="18.75" spans="1:25">
      <c r="A171" s="312"/>
      <c r="B171" s="312"/>
      <c r="C171" s="312"/>
      <c r="D171" s="312"/>
      <c r="E171" s="312"/>
      <c r="F171" s="312"/>
      <c r="G171" s="312"/>
      <c r="H171" s="312"/>
      <c r="I171" s="312"/>
      <c r="J171" s="312"/>
      <c r="K171" s="312"/>
      <c r="L171" s="312"/>
      <c r="M171" s="312"/>
      <c r="N171" s="312"/>
      <c r="O171" s="312"/>
      <c r="P171" s="312"/>
      <c r="Q171" s="312"/>
      <c r="R171" s="312"/>
      <c r="S171" s="312"/>
      <c r="T171" s="312"/>
      <c r="U171" s="312"/>
      <c r="V171" s="312"/>
      <c r="W171" s="312"/>
      <c r="X171" s="312"/>
      <c r="Y171" s="312"/>
    </row>
    <row r="172" ht="18.75" spans="1:25">
      <c r="A172" s="312"/>
      <c r="B172" s="312"/>
      <c r="C172" s="312"/>
      <c r="D172" s="312"/>
      <c r="E172" s="312"/>
      <c r="F172" s="312"/>
      <c r="G172" s="312"/>
      <c r="H172" s="312"/>
      <c r="I172" s="312"/>
      <c r="J172" s="312"/>
      <c r="K172" s="312"/>
      <c r="L172" s="312"/>
      <c r="M172" s="312"/>
      <c r="N172" s="312"/>
      <c r="O172" s="312"/>
      <c r="P172" s="312"/>
      <c r="Q172" s="312"/>
      <c r="R172" s="312"/>
      <c r="S172" s="312"/>
      <c r="T172" s="312"/>
      <c r="U172" s="312"/>
      <c r="V172" s="312"/>
      <c r="W172" s="312"/>
      <c r="X172" s="312"/>
      <c r="Y172" s="312"/>
    </row>
    <row r="173" ht="18.75" spans="1:25">
      <c r="A173" s="312"/>
      <c r="B173" s="312"/>
      <c r="C173" s="312"/>
      <c r="D173" s="312"/>
      <c r="E173" s="312"/>
      <c r="F173" s="312"/>
      <c r="G173" s="312"/>
      <c r="H173" s="312"/>
      <c r="I173" s="312"/>
      <c r="J173" s="312"/>
      <c r="K173" s="312"/>
      <c r="L173" s="312"/>
      <c r="M173" s="312"/>
      <c r="N173" s="312"/>
      <c r="O173" s="312"/>
      <c r="P173" s="312"/>
      <c r="Q173" s="312"/>
      <c r="R173" s="312"/>
      <c r="S173" s="312"/>
      <c r="T173" s="312"/>
      <c r="U173" s="312"/>
      <c r="V173" s="312"/>
      <c r="W173" s="312"/>
      <c r="X173" s="312"/>
      <c r="Y173" s="312"/>
    </row>
    <row r="174" ht="18.75" spans="1:25">
      <c r="A174" s="312"/>
      <c r="B174" s="312"/>
      <c r="C174" s="312"/>
      <c r="D174" s="312"/>
      <c r="E174" s="312"/>
      <c r="F174" s="312"/>
      <c r="G174" s="312"/>
      <c r="H174" s="312"/>
      <c r="I174" s="312"/>
      <c r="J174" s="312"/>
      <c r="K174" s="312"/>
      <c r="L174" s="312"/>
      <c r="M174" s="312"/>
      <c r="N174" s="312"/>
      <c r="O174" s="312"/>
      <c r="P174" s="312"/>
      <c r="Q174" s="312"/>
      <c r="R174" s="312"/>
      <c r="S174" s="312"/>
      <c r="T174" s="312"/>
      <c r="U174" s="312"/>
      <c r="V174" s="312"/>
      <c r="W174" s="312"/>
      <c r="X174" s="312"/>
      <c r="Y174" s="312"/>
    </row>
    <row r="175" ht="18.75" spans="1:25">
      <c r="A175" s="312"/>
      <c r="B175" s="312"/>
      <c r="C175" s="312"/>
      <c r="D175" s="312"/>
      <c r="E175" s="312"/>
      <c r="F175" s="312"/>
      <c r="G175" s="312"/>
      <c r="H175" s="312"/>
      <c r="I175" s="312"/>
      <c r="J175" s="312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2"/>
      <c r="X175" s="312"/>
      <c r="Y175" s="312"/>
    </row>
    <row r="176" ht="18.75" spans="1:25">
      <c r="A176" s="312"/>
      <c r="B176" s="312"/>
      <c r="C176" s="312"/>
      <c r="D176" s="312"/>
      <c r="E176" s="312"/>
      <c r="F176" s="312"/>
      <c r="G176" s="312"/>
      <c r="H176" s="312"/>
      <c r="I176" s="312"/>
      <c r="J176" s="312"/>
      <c r="K176" s="312"/>
      <c r="L176" s="312"/>
      <c r="M176" s="312"/>
      <c r="N176" s="312"/>
      <c r="O176" s="312"/>
      <c r="P176" s="312"/>
      <c r="Q176" s="312"/>
      <c r="R176" s="312"/>
      <c r="S176" s="312"/>
      <c r="T176" s="312"/>
      <c r="U176" s="312"/>
      <c r="V176" s="312"/>
      <c r="W176" s="312"/>
      <c r="X176" s="312"/>
      <c r="Y176" s="312"/>
    </row>
    <row r="177" ht="18.75" spans="1:25">
      <c r="A177" s="312"/>
      <c r="B177" s="312"/>
      <c r="C177" s="312"/>
      <c r="D177" s="312"/>
      <c r="E177" s="312"/>
      <c r="F177" s="312"/>
      <c r="G177" s="312"/>
      <c r="H177" s="312"/>
      <c r="I177" s="312"/>
      <c r="J177" s="312"/>
      <c r="K177" s="312"/>
      <c r="L177" s="312"/>
      <c r="M177" s="312"/>
      <c r="N177" s="312"/>
      <c r="O177" s="312"/>
      <c r="P177" s="312"/>
      <c r="Q177" s="312"/>
      <c r="R177" s="312"/>
      <c r="S177" s="312"/>
      <c r="T177" s="312"/>
      <c r="U177" s="312"/>
      <c r="V177" s="312"/>
      <c r="W177" s="312"/>
      <c r="X177" s="312"/>
      <c r="Y177" s="312"/>
    </row>
    <row r="178" ht="18.75" spans="1:25">
      <c r="A178" s="312"/>
      <c r="B178" s="312"/>
      <c r="C178" s="312"/>
      <c r="D178" s="312"/>
      <c r="E178" s="312"/>
      <c r="F178" s="312"/>
      <c r="G178" s="312"/>
      <c r="H178" s="312"/>
      <c r="I178" s="312"/>
      <c r="J178" s="312"/>
      <c r="K178" s="312"/>
      <c r="L178" s="312"/>
      <c r="M178" s="312"/>
      <c r="N178" s="312"/>
      <c r="O178" s="312"/>
      <c r="P178" s="312"/>
      <c r="Q178" s="312"/>
      <c r="R178" s="312"/>
      <c r="S178" s="312"/>
      <c r="T178" s="312"/>
      <c r="U178" s="312"/>
      <c r="V178" s="312"/>
      <c r="W178" s="312"/>
      <c r="X178" s="312"/>
      <c r="Y178" s="312"/>
    </row>
    <row r="179" ht="18.75" spans="1:25">
      <c r="A179" s="312"/>
      <c r="B179" s="312"/>
      <c r="C179" s="312"/>
      <c r="D179" s="312"/>
      <c r="E179" s="312"/>
      <c r="F179" s="312"/>
      <c r="G179" s="312"/>
      <c r="H179" s="312"/>
      <c r="I179" s="312"/>
      <c r="J179" s="312"/>
      <c r="K179" s="312"/>
      <c r="L179" s="312"/>
      <c r="M179" s="312"/>
      <c r="N179" s="312"/>
      <c r="O179" s="312"/>
      <c r="P179" s="312"/>
      <c r="Q179" s="312"/>
      <c r="R179" s="312"/>
      <c r="S179" s="312"/>
      <c r="T179" s="312"/>
      <c r="U179" s="312"/>
      <c r="V179" s="312"/>
      <c r="W179" s="312"/>
      <c r="X179" s="312"/>
      <c r="Y179" s="312"/>
    </row>
    <row r="180" ht="18.75" spans="1:25">
      <c r="A180" s="312"/>
      <c r="B180" s="312"/>
      <c r="C180" s="312"/>
      <c r="D180" s="312"/>
      <c r="E180" s="312"/>
      <c r="F180" s="312"/>
      <c r="G180" s="312"/>
      <c r="H180" s="312"/>
      <c r="I180" s="312"/>
      <c r="J180" s="312"/>
      <c r="K180" s="312"/>
      <c r="L180" s="312"/>
      <c r="M180" s="312"/>
      <c r="N180" s="312"/>
      <c r="O180" s="312"/>
      <c r="P180" s="312"/>
      <c r="Q180" s="312"/>
      <c r="R180" s="312"/>
      <c r="S180" s="312"/>
      <c r="T180" s="312"/>
      <c r="U180" s="312"/>
      <c r="V180" s="312"/>
      <c r="W180" s="312"/>
      <c r="X180" s="312"/>
      <c r="Y180" s="312"/>
    </row>
    <row r="181" ht="18.75" spans="1:25">
      <c r="A181" s="312"/>
      <c r="B181" s="312"/>
      <c r="C181" s="312"/>
      <c r="D181" s="312"/>
      <c r="E181" s="312"/>
      <c r="F181" s="312"/>
      <c r="G181" s="312"/>
      <c r="H181" s="312"/>
      <c r="I181" s="312"/>
      <c r="J181" s="312"/>
      <c r="K181" s="312"/>
      <c r="L181" s="312"/>
      <c r="M181" s="312"/>
      <c r="N181" s="312"/>
      <c r="O181" s="312"/>
      <c r="P181" s="312"/>
      <c r="Q181" s="312"/>
      <c r="R181" s="312"/>
      <c r="S181" s="312"/>
      <c r="T181" s="312"/>
      <c r="U181" s="312"/>
      <c r="V181" s="312"/>
      <c r="W181" s="312"/>
      <c r="X181" s="312"/>
      <c r="Y181" s="312"/>
    </row>
    <row r="182" ht="18.75" spans="1:25">
      <c r="A182" s="312"/>
      <c r="B182" s="312"/>
      <c r="C182" s="312"/>
      <c r="D182" s="312"/>
      <c r="E182" s="312"/>
      <c r="F182" s="312"/>
      <c r="G182" s="312"/>
      <c r="H182" s="312"/>
      <c r="I182" s="312"/>
      <c r="J182" s="312"/>
      <c r="K182" s="312"/>
      <c r="L182" s="312"/>
      <c r="M182" s="312"/>
      <c r="N182" s="312"/>
      <c r="O182" s="312"/>
      <c r="P182" s="312"/>
      <c r="Q182" s="312"/>
      <c r="R182" s="312"/>
      <c r="S182" s="312"/>
      <c r="T182" s="312"/>
      <c r="U182" s="312"/>
      <c r="V182" s="312"/>
      <c r="W182" s="312"/>
      <c r="X182" s="312"/>
      <c r="Y182" s="312"/>
    </row>
    <row r="183" ht="18.75" spans="1:25">
      <c r="A183" s="312"/>
      <c r="B183" s="312"/>
      <c r="C183" s="312"/>
      <c r="D183" s="312"/>
      <c r="E183" s="312"/>
      <c r="F183" s="312"/>
      <c r="G183" s="312"/>
      <c r="H183" s="312"/>
      <c r="I183" s="312"/>
      <c r="J183" s="312"/>
      <c r="K183" s="312"/>
      <c r="L183" s="312"/>
      <c r="M183" s="312"/>
      <c r="N183" s="312"/>
      <c r="O183" s="312"/>
      <c r="P183" s="312"/>
      <c r="Q183" s="312"/>
      <c r="R183" s="312"/>
      <c r="S183" s="312"/>
      <c r="T183" s="312"/>
      <c r="U183" s="312"/>
      <c r="V183" s="312"/>
      <c r="W183" s="312"/>
      <c r="X183" s="312"/>
      <c r="Y183" s="312"/>
    </row>
    <row r="184" ht="18.75" spans="1:25">
      <c r="A184" s="312"/>
      <c r="B184" s="312"/>
      <c r="C184" s="312"/>
      <c r="D184" s="312"/>
      <c r="E184" s="312"/>
      <c r="F184" s="312"/>
      <c r="G184" s="312"/>
      <c r="H184" s="312"/>
      <c r="I184" s="312"/>
      <c r="J184" s="312"/>
      <c r="K184" s="312"/>
      <c r="L184" s="312"/>
      <c r="M184" s="312"/>
      <c r="N184" s="312"/>
      <c r="O184" s="312"/>
      <c r="P184" s="312"/>
      <c r="Q184" s="312"/>
      <c r="R184" s="312"/>
      <c r="S184" s="312"/>
      <c r="T184" s="312"/>
      <c r="U184" s="312"/>
      <c r="V184" s="312"/>
      <c r="W184" s="312"/>
      <c r="X184" s="312"/>
      <c r="Y184" s="312"/>
    </row>
    <row r="185" ht="18.75" spans="1:25">
      <c r="A185" s="312"/>
      <c r="B185" s="312"/>
      <c r="C185" s="312"/>
      <c r="D185" s="312"/>
      <c r="E185" s="312"/>
      <c r="F185" s="312"/>
      <c r="G185" s="312"/>
      <c r="H185" s="312"/>
      <c r="I185" s="312"/>
      <c r="J185" s="312"/>
      <c r="K185" s="312"/>
      <c r="L185" s="312"/>
      <c r="M185" s="312"/>
      <c r="N185" s="312"/>
      <c r="O185" s="312"/>
      <c r="P185" s="312"/>
      <c r="Q185" s="312"/>
      <c r="R185" s="312"/>
      <c r="S185" s="312"/>
      <c r="T185" s="312"/>
      <c r="U185" s="312"/>
      <c r="V185" s="312"/>
      <c r="W185" s="312"/>
      <c r="X185" s="312"/>
      <c r="Y185" s="312"/>
    </row>
    <row r="186" ht="18.75" spans="1:25">
      <c r="A186" s="312"/>
      <c r="B186" s="312"/>
      <c r="C186" s="312"/>
      <c r="D186" s="312"/>
      <c r="E186" s="312"/>
      <c r="F186" s="312"/>
      <c r="G186" s="312"/>
      <c r="H186" s="312"/>
      <c r="I186" s="312"/>
      <c r="J186" s="312"/>
      <c r="K186" s="312"/>
      <c r="L186" s="312"/>
      <c r="M186" s="312"/>
      <c r="N186" s="312"/>
      <c r="O186" s="312"/>
      <c r="P186" s="312"/>
      <c r="Q186" s="312"/>
      <c r="R186" s="312"/>
      <c r="S186" s="312"/>
      <c r="T186" s="312"/>
      <c r="U186" s="312"/>
      <c r="V186" s="312"/>
      <c r="W186" s="312"/>
      <c r="X186" s="312"/>
      <c r="Y186" s="312"/>
    </row>
    <row r="187" ht="18.75" spans="1:25">
      <c r="A187" s="312"/>
      <c r="B187" s="312"/>
      <c r="C187" s="312"/>
      <c r="D187" s="312"/>
      <c r="E187" s="312"/>
      <c r="F187" s="312"/>
      <c r="G187" s="312"/>
      <c r="H187" s="312"/>
      <c r="I187" s="312"/>
      <c r="J187" s="312"/>
      <c r="K187" s="312"/>
      <c r="L187" s="312"/>
      <c r="M187" s="312"/>
      <c r="N187" s="312"/>
      <c r="O187" s="312"/>
      <c r="P187" s="312"/>
      <c r="Q187" s="312"/>
      <c r="R187" s="312"/>
      <c r="S187" s="312"/>
      <c r="T187" s="312"/>
      <c r="U187" s="312"/>
      <c r="V187" s="312"/>
      <c r="W187" s="312"/>
      <c r="X187" s="312"/>
      <c r="Y187" s="312"/>
    </row>
    <row r="188" ht="18.75" spans="1:25">
      <c r="A188" s="312"/>
      <c r="B188" s="312"/>
      <c r="C188" s="312"/>
      <c r="D188" s="312"/>
      <c r="E188" s="312"/>
      <c r="F188" s="312"/>
      <c r="G188" s="312"/>
      <c r="H188" s="312"/>
      <c r="I188" s="312"/>
      <c r="J188" s="312"/>
      <c r="K188" s="312"/>
      <c r="L188" s="312"/>
      <c r="M188" s="312"/>
      <c r="N188" s="312"/>
      <c r="O188" s="312"/>
      <c r="P188" s="312"/>
      <c r="Q188" s="312"/>
      <c r="R188" s="312"/>
      <c r="S188" s="312"/>
      <c r="T188" s="312"/>
      <c r="U188" s="312"/>
      <c r="V188" s="312"/>
      <c r="W188" s="312"/>
      <c r="X188" s="312"/>
      <c r="Y188" s="312"/>
    </row>
    <row r="189" ht="18.75" spans="1:25">
      <c r="A189" s="312"/>
      <c r="B189" s="312"/>
      <c r="C189" s="312"/>
      <c r="D189" s="312"/>
      <c r="E189" s="312"/>
      <c r="F189" s="312"/>
      <c r="G189" s="312"/>
      <c r="H189" s="312"/>
      <c r="I189" s="312"/>
      <c r="J189" s="312"/>
      <c r="K189" s="312"/>
      <c r="L189" s="312"/>
      <c r="M189" s="312"/>
      <c r="N189" s="312"/>
      <c r="O189" s="312"/>
      <c r="P189" s="312"/>
      <c r="Q189" s="312"/>
      <c r="R189" s="312"/>
      <c r="S189" s="312"/>
      <c r="T189" s="312"/>
      <c r="U189" s="312"/>
      <c r="V189" s="312"/>
      <c r="W189" s="312"/>
      <c r="X189" s="312"/>
      <c r="Y189" s="312"/>
    </row>
    <row r="190" ht="18.75" spans="1:25">
      <c r="A190" s="312"/>
      <c r="B190" s="312"/>
      <c r="C190" s="312"/>
      <c r="D190" s="312"/>
      <c r="E190" s="312"/>
      <c r="F190" s="312"/>
      <c r="G190" s="312"/>
      <c r="H190" s="312"/>
      <c r="I190" s="312"/>
      <c r="J190" s="312"/>
      <c r="K190" s="312"/>
      <c r="L190" s="312"/>
      <c r="M190" s="312"/>
      <c r="N190" s="312"/>
      <c r="O190" s="312"/>
      <c r="P190" s="312"/>
      <c r="Q190" s="312"/>
      <c r="R190" s="312"/>
      <c r="S190" s="312"/>
      <c r="T190" s="312"/>
      <c r="U190" s="312"/>
      <c r="V190" s="312"/>
      <c r="W190" s="312"/>
      <c r="X190" s="312"/>
      <c r="Y190" s="312"/>
    </row>
    <row r="191" ht="18.75" spans="1:25">
      <c r="A191" s="312"/>
      <c r="B191" s="312"/>
      <c r="C191" s="312"/>
      <c r="D191" s="312"/>
      <c r="E191" s="312"/>
      <c r="F191" s="312"/>
      <c r="G191" s="312"/>
      <c r="H191" s="312"/>
      <c r="I191" s="312"/>
      <c r="J191" s="312"/>
      <c r="K191" s="312"/>
      <c r="L191" s="312"/>
      <c r="M191" s="312"/>
      <c r="N191" s="312"/>
      <c r="O191" s="312"/>
      <c r="P191" s="312"/>
      <c r="Q191" s="312"/>
      <c r="R191" s="312"/>
      <c r="S191" s="312"/>
      <c r="T191" s="312"/>
      <c r="U191" s="312"/>
      <c r="V191" s="312"/>
      <c r="W191" s="312"/>
      <c r="X191" s="312"/>
      <c r="Y191" s="312"/>
    </row>
    <row r="192" ht="18.75" spans="1:25">
      <c r="A192" s="312"/>
      <c r="B192" s="312"/>
      <c r="C192" s="312"/>
      <c r="D192" s="312"/>
      <c r="E192" s="312"/>
      <c r="F192" s="312"/>
      <c r="G192" s="312"/>
      <c r="H192" s="312"/>
      <c r="I192" s="312"/>
      <c r="J192" s="312"/>
      <c r="K192" s="312"/>
      <c r="L192" s="312"/>
      <c r="M192" s="312"/>
      <c r="N192" s="312"/>
      <c r="O192" s="312"/>
      <c r="P192" s="312"/>
      <c r="Q192" s="312"/>
      <c r="R192" s="312"/>
      <c r="S192" s="312"/>
      <c r="T192" s="312"/>
      <c r="U192" s="312"/>
      <c r="V192" s="312"/>
      <c r="W192" s="312"/>
      <c r="X192" s="312"/>
      <c r="Y192" s="312"/>
    </row>
    <row r="193" ht="18.75" spans="1:25">
      <c r="A193" s="312"/>
      <c r="B193" s="312"/>
      <c r="C193" s="312"/>
      <c r="D193" s="312"/>
      <c r="E193" s="312"/>
      <c r="F193" s="312"/>
      <c r="G193" s="312"/>
      <c r="H193" s="312"/>
      <c r="I193" s="312"/>
      <c r="J193" s="312"/>
      <c r="K193" s="312"/>
      <c r="L193" s="312"/>
      <c r="M193" s="312"/>
      <c r="N193" s="312"/>
      <c r="O193" s="312"/>
      <c r="P193" s="312"/>
      <c r="Q193" s="312"/>
      <c r="R193" s="312"/>
      <c r="S193" s="312"/>
      <c r="T193" s="312"/>
      <c r="U193" s="312"/>
      <c r="V193" s="312"/>
      <c r="W193" s="312"/>
      <c r="X193" s="312"/>
      <c r="Y193" s="312"/>
    </row>
    <row r="194" ht="18.75" spans="1:25">
      <c r="A194" s="312"/>
      <c r="B194" s="312"/>
      <c r="C194" s="312"/>
      <c r="D194" s="312"/>
      <c r="E194" s="312"/>
      <c r="F194" s="312"/>
      <c r="G194" s="312"/>
      <c r="H194" s="312"/>
      <c r="I194" s="312"/>
      <c r="J194" s="312"/>
      <c r="K194" s="312"/>
      <c r="L194" s="312"/>
      <c r="M194" s="312"/>
      <c r="N194" s="312"/>
      <c r="O194" s="312"/>
      <c r="P194" s="312"/>
      <c r="Q194" s="312"/>
      <c r="R194" s="312"/>
      <c r="S194" s="312"/>
      <c r="T194" s="312"/>
      <c r="U194" s="312"/>
      <c r="V194" s="312"/>
      <c r="W194" s="312"/>
      <c r="X194" s="312"/>
      <c r="Y194" s="312"/>
    </row>
    <row r="195" ht="18.75" spans="1:25">
      <c r="A195" s="312"/>
      <c r="B195" s="312"/>
      <c r="C195" s="312"/>
      <c r="D195" s="312"/>
      <c r="E195" s="312"/>
      <c r="F195" s="312"/>
      <c r="G195" s="312"/>
      <c r="H195" s="312"/>
      <c r="I195" s="312"/>
      <c r="J195" s="312"/>
      <c r="K195" s="312"/>
      <c r="L195" s="312"/>
      <c r="M195" s="312"/>
      <c r="N195" s="312"/>
      <c r="O195" s="312"/>
      <c r="P195" s="312"/>
      <c r="Q195" s="312"/>
      <c r="R195" s="312"/>
      <c r="S195" s="312"/>
      <c r="T195" s="312"/>
      <c r="U195" s="312"/>
      <c r="V195" s="312"/>
      <c r="W195" s="312"/>
      <c r="X195" s="312"/>
      <c r="Y195" s="312"/>
    </row>
    <row r="196" ht="18.75" spans="1:25">
      <c r="A196" s="312"/>
      <c r="B196" s="312"/>
      <c r="C196" s="312"/>
      <c r="D196" s="312"/>
      <c r="E196" s="312"/>
      <c r="F196" s="312"/>
      <c r="G196" s="312"/>
      <c r="H196" s="312"/>
      <c r="I196" s="312"/>
      <c r="J196" s="312"/>
      <c r="K196" s="312"/>
      <c r="L196" s="312"/>
      <c r="M196" s="312"/>
      <c r="N196" s="312"/>
      <c r="O196" s="312"/>
      <c r="P196" s="312"/>
      <c r="Q196" s="312"/>
      <c r="R196" s="312"/>
      <c r="S196" s="312"/>
      <c r="T196" s="312"/>
      <c r="U196" s="312"/>
      <c r="V196" s="312"/>
      <c r="W196" s="312"/>
      <c r="X196" s="312"/>
      <c r="Y196" s="312"/>
    </row>
    <row r="197" ht="18.75" spans="1:25">
      <c r="A197" s="312"/>
      <c r="B197" s="312"/>
      <c r="C197" s="312"/>
      <c r="D197" s="312"/>
      <c r="E197" s="312"/>
      <c r="F197" s="312"/>
      <c r="G197" s="312"/>
      <c r="H197" s="312"/>
      <c r="I197" s="312"/>
      <c r="J197" s="312"/>
      <c r="K197" s="312"/>
      <c r="L197" s="312"/>
      <c r="M197" s="312"/>
      <c r="N197" s="312"/>
      <c r="O197" s="312"/>
      <c r="P197" s="312"/>
      <c r="Q197" s="312"/>
      <c r="R197" s="312"/>
      <c r="S197" s="312"/>
      <c r="T197" s="312"/>
      <c r="U197" s="312"/>
      <c r="V197" s="312"/>
      <c r="W197" s="312"/>
      <c r="X197" s="312"/>
      <c r="Y197" s="312"/>
    </row>
    <row r="198" ht="18.75" spans="1:25">
      <c r="A198" s="312"/>
      <c r="B198" s="312"/>
      <c r="C198" s="312"/>
      <c r="D198" s="312"/>
      <c r="E198" s="312"/>
      <c r="F198" s="312"/>
      <c r="G198" s="312"/>
      <c r="H198" s="312"/>
      <c r="I198" s="312"/>
      <c r="J198" s="312"/>
      <c r="K198" s="312"/>
      <c r="L198" s="312"/>
      <c r="M198" s="312"/>
      <c r="N198" s="312"/>
      <c r="O198" s="312"/>
      <c r="P198" s="312"/>
      <c r="Q198" s="312"/>
      <c r="R198" s="312"/>
      <c r="S198" s="312"/>
      <c r="T198" s="312"/>
      <c r="U198" s="312"/>
      <c r="V198" s="312"/>
      <c r="W198" s="312"/>
      <c r="X198" s="312"/>
      <c r="Y198" s="312"/>
    </row>
    <row r="199" ht="18.75" spans="1:25">
      <c r="A199" s="312"/>
      <c r="B199" s="312"/>
      <c r="C199" s="312"/>
      <c r="D199" s="312"/>
      <c r="E199" s="312"/>
      <c r="F199" s="312"/>
      <c r="G199" s="312"/>
      <c r="H199" s="312"/>
      <c r="I199" s="312"/>
      <c r="J199" s="312"/>
      <c r="K199" s="312"/>
      <c r="L199" s="312"/>
      <c r="M199" s="312"/>
      <c r="N199" s="312"/>
      <c r="O199" s="312"/>
      <c r="P199" s="312"/>
      <c r="Q199" s="312"/>
      <c r="R199" s="312"/>
      <c r="S199" s="312"/>
      <c r="T199" s="312"/>
      <c r="U199" s="312"/>
      <c r="V199" s="312"/>
      <c r="W199" s="312"/>
      <c r="X199" s="312"/>
      <c r="Y199" s="312"/>
    </row>
    <row r="200" ht="18.75" spans="1:25">
      <c r="A200" s="312"/>
      <c r="B200" s="312"/>
      <c r="C200" s="312"/>
      <c r="D200" s="312"/>
      <c r="E200" s="312"/>
      <c r="F200" s="312"/>
      <c r="G200" s="312"/>
      <c r="H200" s="312"/>
      <c r="I200" s="312"/>
      <c r="J200" s="312"/>
      <c r="K200" s="312"/>
      <c r="L200" s="312"/>
      <c r="M200" s="312"/>
      <c r="N200" s="312"/>
      <c r="O200" s="312"/>
      <c r="P200" s="312"/>
      <c r="Q200" s="312"/>
      <c r="R200" s="312"/>
      <c r="S200" s="312"/>
      <c r="T200" s="312"/>
      <c r="U200" s="312"/>
      <c r="V200" s="312"/>
      <c r="W200" s="312"/>
      <c r="X200" s="312"/>
      <c r="Y200" s="312"/>
    </row>
    <row r="201" ht="18.75" spans="1:25">
      <c r="A201" s="312"/>
      <c r="B201" s="312"/>
      <c r="C201" s="312"/>
      <c r="D201" s="312"/>
      <c r="E201" s="312"/>
      <c r="F201" s="312"/>
      <c r="G201" s="312"/>
      <c r="H201" s="312"/>
      <c r="I201" s="312"/>
      <c r="J201" s="312"/>
      <c r="K201" s="312"/>
      <c r="L201" s="312"/>
      <c r="M201" s="312"/>
      <c r="N201" s="312"/>
      <c r="O201" s="312"/>
      <c r="P201" s="312"/>
      <c r="Q201" s="312"/>
      <c r="R201" s="312"/>
      <c r="S201" s="312"/>
      <c r="T201" s="312"/>
      <c r="U201" s="312"/>
      <c r="V201" s="312"/>
      <c r="W201" s="312"/>
      <c r="X201" s="312"/>
      <c r="Y201" s="312"/>
    </row>
    <row r="202" ht="18.75" spans="1:25">
      <c r="A202" s="312"/>
      <c r="B202" s="312"/>
      <c r="C202" s="312"/>
      <c r="D202" s="312"/>
      <c r="E202" s="312"/>
      <c r="F202" s="312"/>
      <c r="G202" s="312"/>
      <c r="H202" s="312"/>
      <c r="I202" s="312"/>
      <c r="J202" s="312"/>
      <c r="K202" s="312"/>
      <c r="L202" s="312"/>
      <c r="M202" s="312"/>
      <c r="N202" s="312"/>
      <c r="O202" s="312"/>
      <c r="P202" s="312"/>
      <c r="Q202" s="312"/>
      <c r="R202" s="312"/>
      <c r="S202" s="312"/>
      <c r="T202" s="312"/>
      <c r="U202" s="312"/>
      <c r="V202" s="312"/>
      <c r="W202" s="312"/>
      <c r="X202" s="312"/>
      <c r="Y202" s="312"/>
    </row>
    <row r="203" ht="18.75" spans="1:25">
      <c r="A203" s="312"/>
      <c r="B203" s="312"/>
      <c r="C203" s="312"/>
      <c r="D203" s="312"/>
      <c r="E203" s="312"/>
      <c r="F203" s="312"/>
      <c r="G203" s="312"/>
      <c r="H203" s="312"/>
      <c r="I203" s="312"/>
      <c r="J203" s="312"/>
      <c r="K203" s="312"/>
      <c r="L203" s="312"/>
      <c r="M203" s="312"/>
      <c r="N203" s="312"/>
      <c r="O203" s="312"/>
      <c r="P203" s="312"/>
      <c r="Q203" s="312"/>
      <c r="R203" s="312"/>
      <c r="S203" s="312"/>
      <c r="T203" s="312"/>
      <c r="U203" s="312"/>
      <c r="V203" s="312"/>
      <c r="W203" s="312"/>
      <c r="X203" s="312"/>
      <c r="Y203" s="312"/>
    </row>
    <row r="204" ht="18.75" spans="1:25">
      <c r="A204" s="312"/>
      <c r="B204" s="312"/>
      <c r="C204" s="312"/>
      <c r="D204" s="312"/>
      <c r="E204" s="312"/>
      <c r="F204" s="312"/>
      <c r="G204" s="312"/>
      <c r="H204" s="312"/>
      <c r="I204" s="312"/>
      <c r="J204" s="312"/>
      <c r="K204" s="312"/>
      <c r="L204" s="312"/>
      <c r="M204" s="312"/>
      <c r="N204" s="312"/>
      <c r="O204" s="312"/>
      <c r="P204" s="312"/>
      <c r="Q204" s="312"/>
      <c r="R204" s="312"/>
      <c r="S204" s="312"/>
      <c r="T204" s="312"/>
      <c r="U204" s="312"/>
      <c r="V204" s="312"/>
      <c r="W204" s="312"/>
      <c r="X204" s="312"/>
      <c r="Y204" s="312"/>
    </row>
    <row r="205" ht="18.75" spans="1:25">
      <c r="A205" s="312"/>
      <c r="B205" s="312"/>
      <c r="C205" s="312"/>
      <c r="D205" s="312"/>
      <c r="E205" s="312"/>
      <c r="F205" s="312"/>
      <c r="G205" s="312"/>
      <c r="H205" s="312"/>
      <c r="I205" s="312"/>
      <c r="J205" s="312"/>
      <c r="K205" s="312"/>
      <c r="L205" s="312"/>
      <c r="M205" s="312"/>
      <c r="N205" s="312"/>
      <c r="O205" s="312"/>
      <c r="P205" s="312"/>
      <c r="Q205" s="312"/>
      <c r="R205" s="312"/>
      <c r="S205" s="312"/>
      <c r="T205" s="312"/>
      <c r="U205" s="312"/>
      <c r="V205" s="312"/>
      <c r="W205" s="312"/>
      <c r="X205" s="312"/>
      <c r="Y205" s="312"/>
    </row>
    <row r="206" ht="18.75" spans="1:25">
      <c r="A206" s="312"/>
      <c r="B206" s="312"/>
      <c r="C206" s="312"/>
      <c r="D206" s="312"/>
      <c r="E206" s="312"/>
      <c r="F206" s="312"/>
      <c r="G206" s="312"/>
      <c r="H206" s="312"/>
      <c r="I206" s="312"/>
      <c r="J206" s="312"/>
      <c r="K206" s="312"/>
      <c r="L206" s="312"/>
      <c r="M206" s="312"/>
      <c r="N206" s="312"/>
      <c r="O206" s="312"/>
      <c r="P206" s="312"/>
      <c r="Q206" s="312"/>
      <c r="R206" s="312"/>
      <c r="S206" s="312"/>
      <c r="T206" s="312"/>
      <c r="U206" s="312"/>
      <c r="V206" s="312"/>
      <c r="W206" s="312"/>
      <c r="X206" s="312"/>
      <c r="Y206" s="312"/>
    </row>
    <row r="207" ht="18.75" spans="1:25">
      <c r="A207" s="312"/>
      <c r="B207" s="312"/>
      <c r="C207" s="312"/>
      <c r="D207" s="312"/>
      <c r="E207" s="312"/>
      <c r="F207" s="312"/>
      <c r="G207" s="312"/>
      <c r="H207" s="312"/>
      <c r="I207" s="312"/>
      <c r="J207" s="312"/>
      <c r="K207" s="312"/>
      <c r="L207" s="312"/>
      <c r="M207" s="312"/>
      <c r="N207" s="312"/>
      <c r="O207" s="312"/>
      <c r="P207" s="312"/>
      <c r="Q207" s="312"/>
      <c r="R207" s="312"/>
      <c r="S207" s="312"/>
      <c r="T207" s="312"/>
      <c r="U207" s="312"/>
      <c r="V207" s="312"/>
      <c r="W207" s="312"/>
      <c r="X207" s="312"/>
      <c r="Y207" s="312"/>
    </row>
    <row r="208" ht="18.75" spans="1:25">
      <c r="A208" s="312"/>
      <c r="B208" s="312"/>
      <c r="C208" s="312"/>
      <c r="D208" s="312"/>
      <c r="E208" s="312"/>
      <c r="F208" s="312"/>
      <c r="G208" s="312"/>
      <c r="H208" s="312"/>
      <c r="I208" s="312"/>
      <c r="J208" s="312"/>
      <c r="K208" s="312"/>
      <c r="L208" s="312"/>
      <c r="M208" s="312"/>
      <c r="N208" s="312"/>
      <c r="O208" s="312"/>
      <c r="P208" s="312"/>
      <c r="Q208" s="312"/>
      <c r="R208" s="312"/>
      <c r="S208" s="312"/>
      <c r="T208" s="312"/>
      <c r="U208" s="312"/>
      <c r="V208" s="312"/>
      <c r="W208" s="312"/>
      <c r="X208" s="312"/>
      <c r="Y208" s="312"/>
    </row>
  </sheetData>
  <mergeCells count="47">
    <mergeCell ref="A1:G1"/>
    <mergeCell ref="H1:T1"/>
    <mergeCell ref="H2:T2"/>
    <mergeCell ref="C7:F7"/>
    <mergeCell ref="G7:J7"/>
    <mergeCell ref="K7:O7"/>
    <mergeCell ref="P7:S7"/>
    <mergeCell ref="T7:X7"/>
    <mergeCell ref="Y7:Z7"/>
    <mergeCell ref="AC11:AD11"/>
    <mergeCell ref="AC12:AF12"/>
    <mergeCell ref="AC13:AF13"/>
    <mergeCell ref="AC14:AF14"/>
    <mergeCell ref="A22:B22"/>
    <mergeCell ref="C22:Z22"/>
    <mergeCell ref="G24:J24"/>
    <mergeCell ref="B26:D26"/>
    <mergeCell ref="B27:D27"/>
    <mergeCell ref="B28:D28"/>
    <mergeCell ref="L28:P28"/>
    <mergeCell ref="B29:D29"/>
    <mergeCell ref="B30:D30"/>
    <mergeCell ref="B31:D31"/>
    <mergeCell ref="B32:D32"/>
    <mergeCell ref="B33:D33"/>
    <mergeCell ref="B34:D34"/>
    <mergeCell ref="L34:P34"/>
    <mergeCell ref="B35:D35"/>
    <mergeCell ref="B36:D36"/>
    <mergeCell ref="A37:E37"/>
    <mergeCell ref="L37:P37"/>
    <mergeCell ref="A7:A9"/>
    <mergeCell ref="A10:A11"/>
    <mergeCell ref="A12:A13"/>
    <mergeCell ref="A14:A15"/>
    <mergeCell ref="A16:A17"/>
    <mergeCell ref="A18:A19"/>
    <mergeCell ref="A24:A25"/>
    <mergeCell ref="E24:E25"/>
    <mergeCell ref="F24:F25"/>
    <mergeCell ref="K10:K11"/>
    <mergeCell ref="K16:K17"/>
    <mergeCell ref="K18:K19"/>
    <mergeCell ref="K24:K25"/>
    <mergeCell ref="T18:T19"/>
    <mergeCell ref="B24:D25"/>
    <mergeCell ref="W10:Z19"/>
  </mergeCells>
  <pageMargins left="0.61" right="0.31496062992126" top="0.551181102362205" bottom="0.354330708661417" header="0.31496062992126" footer="0.31496062992126"/>
  <pageSetup paperSize="9" scale="52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08"/>
  <sheetViews>
    <sheetView zoomScale="62" zoomScaleNormal="62" topLeftCell="A18" workbookViewId="0">
      <selection activeCell="K44" sqref="K44"/>
    </sheetView>
  </sheetViews>
  <sheetFormatPr defaultColWidth="9.1047619047619" defaultRowHeight="15"/>
  <cols>
    <col min="1" max="1" width="14.1047619047619" style="2" customWidth="1"/>
    <col min="2" max="2" width="11.6666666666667" style="2" customWidth="1"/>
    <col min="3" max="26" width="10.6666666666667" style="2" customWidth="1"/>
    <col min="27" max="16384" width="9.1047619047619" style="2"/>
  </cols>
  <sheetData>
    <row r="1" ht="57" customHeight="1" spans="1:33">
      <c r="A1" s="3" t="s">
        <v>0</v>
      </c>
      <c r="B1" s="3"/>
      <c r="C1" s="3"/>
      <c r="D1" s="3"/>
      <c r="E1" s="3"/>
      <c r="F1" s="3"/>
      <c r="G1" s="3"/>
      <c r="H1" s="3"/>
      <c r="I1" s="4" t="s">
        <v>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6" t="s">
        <v>2</v>
      </c>
      <c r="W1" s="6" t="s">
        <v>113</v>
      </c>
    </row>
    <row r="2" ht="25.5" customHeight="1" spans="1:33">
      <c r="A2" s="3"/>
      <c r="B2" s="3"/>
      <c r="C2" s="3"/>
      <c r="D2" s="3"/>
      <c r="E2" s="3"/>
      <c r="F2" s="3"/>
      <c r="G2" s="3"/>
      <c r="H2" s="3"/>
      <c r="I2" s="7" t="s">
        <v>4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9" t="s">
        <v>114</v>
      </c>
    </row>
    <row r="3" ht="20.25" spans="1:33">
      <c r="V3" s="10" t="s">
        <v>115</v>
      </c>
      <c r="X3" s="10" t="s">
        <v>7</v>
      </c>
    </row>
    <row r="4" ht="20.25" spans="1:33">
      <c r="V4" s="10" t="s">
        <v>116</v>
      </c>
    </row>
    <row r="5" ht="25.5" customHeight="1" spans="1:33">
      <c r="H5" s="11"/>
      <c r="K5" s="12" t="s">
        <v>117</v>
      </c>
      <c r="V5" s="10" t="s">
        <v>118</v>
      </c>
    </row>
    <row r="6" ht="15.75"/>
    <row r="7" ht="24.75" customHeight="1" spans="1:33">
      <c r="A7" s="13" t="s">
        <v>11</v>
      </c>
      <c r="B7" s="14" t="s">
        <v>12</v>
      </c>
      <c r="C7" s="15">
        <v>3</v>
      </c>
      <c r="D7" s="16"/>
      <c r="E7" s="16"/>
      <c r="F7" s="17"/>
      <c r="G7" s="15">
        <v>4</v>
      </c>
      <c r="H7" s="16"/>
      <c r="I7" s="16"/>
      <c r="J7" s="17"/>
      <c r="K7" s="15">
        <v>5</v>
      </c>
      <c r="L7" s="16"/>
      <c r="M7" s="16"/>
      <c r="N7" s="16"/>
      <c r="O7" s="17"/>
      <c r="P7" s="15">
        <v>6</v>
      </c>
      <c r="Q7" s="16"/>
      <c r="R7" s="16"/>
      <c r="S7" s="17"/>
      <c r="T7" s="18" t="s">
        <v>13</v>
      </c>
      <c r="U7" s="19"/>
      <c r="V7" s="19"/>
      <c r="W7" s="19"/>
      <c r="X7" s="20"/>
      <c r="Y7" s="15">
        <v>8</v>
      </c>
      <c r="Z7" s="17"/>
    </row>
    <row r="8" ht="19.5" customHeight="1" spans="1:33">
      <c r="A8" s="21"/>
      <c r="B8" s="22" t="s">
        <v>14</v>
      </c>
      <c r="C8" s="23">
        <v>1</v>
      </c>
      <c r="D8" s="24">
        <v>2</v>
      </c>
      <c r="E8" s="24">
        <v>3</v>
      </c>
      <c r="F8" s="25">
        <v>4</v>
      </c>
      <c r="G8" s="23">
        <v>5</v>
      </c>
      <c r="H8" s="24">
        <v>6</v>
      </c>
      <c r="I8" s="24">
        <v>7</v>
      </c>
      <c r="J8" s="25">
        <v>8</v>
      </c>
      <c r="K8" s="23">
        <v>9</v>
      </c>
      <c r="L8" s="24">
        <v>10</v>
      </c>
      <c r="M8" s="24">
        <v>11</v>
      </c>
      <c r="N8" s="24">
        <v>12</v>
      </c>
      <c r="O8" s="25">
        <v>13</v>
      </c>
      <c r="P8" s="23">
        <v>14</v>
      </c>
      <c r="Q8" s="24">
        <v>15</v>
      </c>
      <c r="R8" s="24">
        <v>16</v>
      </c>
      <c r="S8" s="25">
        <v>17</v>
      </c>
      <c r="T8" s="23">
        <v>18</v>
      </c>
      <c r="U8" s="24">
        <v>19</v>
      </c>
      <c r="V8" s="24">
        <v>20</v>
      </c>
      <c r="W8" s="24">
        <v>21</v>
      </c>
      <c r="X8" s="25">
        <v>22</v>
      </c>
      <c r="Y8" s="23">
        <v>23</v>
      </c>
      <c r="Z8" s="26">
        <v>24</v>
      </c>
    </row>
    <row r="9" ht="33" customHeight="1" spans="1:33">
      <c r="A9" s="27"/>
      <c r="B9" s="28" t="s">
        <v>15</v>
      </c>
      <c r="C9" s="29" t="s">
        <v>119</v>
      </c>
      <c r="D9" s="30" t="s">
        <v>120</v>
      </c>
      <c r="E9" s="30" t="s">
        <v>121</v>
      </c>
      <c r="F9" s="31" t="s">
        <v>122</v>
      </c>
      <c r="G9" s="29" t="s">
        <v>123</v>
      </c>
      <c r="H9" s="30" t="s">
        <v>124</v>
      </c>
      <c r="I9" s="30" t="s">
        <v>125</v>
      </c>
      <c r="J9" s="31" t="s">
        <v>126</v>
      </c>
      <c r="K9" s="29" t="s">
        <v>127</v>
      </c>
      <c r="L9" s="30" t="s">
        <v>128</v>
      </c>
      <c r="M9" s="30" t="s">
        <v>129</v>
      </c>
      <c r="N9" s="30" t="s">
        <v>130</v>
      </c>
      <c r="O9" s="31" t="s">
        <v>131</v>
      </c>
      <c r="P9" s="29" t="s">
        <v>132</v>
      </c>
      <c r="Q9" s="30" t="s">
        <v>133</v>
      </c>
      <c r="R9" s="30" t="s">
        <v>134</v>
      </c>
      <c r="S9" s="31" t="s">
        <v>135</v>
      </c>
      <c r="T9" s="29" t="s">
        <v>136</v>
      </c>
      <c r="U9" s="30" t="s">
        <v>124</v>
      </c>
      <c r="V9" s="30" t="s">
        <v>125</v>
      </c>
      <c r="W9" s="30" t="s">
        <v>126</v>
      </c>
      <c r="X9" s="31" t="s">
        <v>137</v>
      </c>
      <c r="Y9" s="29" t="s">
        <v>138</v>
      </c>
      <c r="Z9" s="32" t="s">
        <v>139</v>
      </c>
    </row>
    <row r="10" ht="39.9" customHeight="1" spans="1:33">
      <c r="A10" s="13">
        <v>2</v>
      </c>
      <c r="B10" s="33" t="s">
        <v>39</v>
      </c>
      <c r="C10" s="404"/>
      <c r="D10" s="405"/>
      <c r="E10" s="405"/>
      <c r="F10" s="406"/>
      <c r="G10" s="407"/>
      <c r="H10" s="408" t="s">
        <v>140</v>
      </c>
      <c r="I10" s="409"/>
      <c r="J10" s="410"/>
      <c r="K10" s="39" t="s">
        <v>41</v>
      </c>
      <c r="L10" s="411"/>
      <c r="M10" s="411"/>
      <c r="N10" s="409"/>
      <c r="O10" s="410"/>
      <c r="P10" s="412"/>
      <c r="Q10" s="413"/>
      <c r="R10" s="413"/>
      <c r="S10" s="414"/>
      <c r="T10" s="412"/>
      <c r="U10" s="415"/>
      <c r="V10" s="416"/>
      <c r="W10" s="49" t="s">
        <v>44</v>
      </c>
      <c r="X10" s="49"/>
      <c r="Y10" s="49"/>
      <c r="Z10" s="50"/>
      <c r="AC10" s="51"/>
      <c r="AD10" s="52"/>
    </row>
    <row r="11" ht="39.9" customHeight="1" spans="1:33">
      <c r="A11" s="53"/>
      <c r="B11" s="54" t="s">
        <v>45</v>
      </c>
      <c r="C11" s="417"/>
      <c r="D11" s="418"/>
      <c r="E11" s="418"/>
      <c r="F11" s="419"/>
      <c r="G11" s="420"/>
      <c r="H11" s="421"/>
      <c r="I11" s="418"/>
      <c r="J11" s="419"/>
      <c r="K11" s="58"/>
      <c r="L11" s="422" t="s">
        <v>141</v>
      </c>
      <c r="M11" s="423"/>
      <c r="N11" s="424"/>
      <c r="O11" s="425"/>
      <c r="P11" s="426"/>
      <c r="Q11" s="427"/>
      <c r="R11" s="427"/>
      <c r="S11" s="428"/>
      <c r="T11" s="429"/>
      <c r="U11" s="430"/>
      <c r="V11" s="431"/>
      <c r="W11" s="49"/>
      <c r="X11" s="49"/>
      <c r="Y11" s="49"/>
      <c r="Z11" s="50"/>
      <c r="AC11" s="69"/>
      <c r="AD11" s="69"/>
    </row>
    <row r="12" ht="39.9" customHeight="1" spans="1:33">
      <c r="A12" s="70">
        <v>3</v>
      </c>
      <c r="B12" s="33" t="s">
        <v>39</v>
      </c>
      <c r="C12" s="432"/>
      <c r="D12" s="433"/>
      <c r="E12" s="433"/>
      <c r="F12" s="434"/>
      <c r="G12" s="435"/>
      <c r="H12" s="433"/>
      <c r="I12" s="436"/>
      <c r="J12" s="437"/>
      <c r="K12" s="77" t="s">
        <v>142</v>
      </c>
      <c r="L12" s="438"/>
      <c r="M12" s="439"/>
      <c r="N12" s="439"/>
      <c r="O12" s="440"/>
      <c r="P12" s="441"/>
      <c r="Q12" s="442"/>
      <c r="R12" s="443"/>
      <c r="S12" s="444"/>
      <c r="T12" s="445"/>
      <c r="U12" s="446"/>
      <c r="V12" s="446"/>
      <c r="W12" s="49"/>
      <c r="X12" s="49"/>
      <c r="Y12" s="49"/>
      <c r="Z12" s="50"/>
      <c r="AC12" s="84"/>
      <c r="AD12" s="84"/>
      <c r="AE12" s="84"/>
      <c r="AF12" s="84"/>
    </row>
    <row r="13" ht="39.9" customHeight="1" spans="1:33">
      <c r="A13" s="53"/>
      <c r="B13" s="54" t="s">
        <v>45</v>
      </c>
      <c r="C13" s="447"/>
      <c r="D13" s="448"/>
      <c r="E13" s="448"/>
      <c r="F13" s="449"/>
      <c r="G13" s="450"/>
      <c r="H13" s="451"/>
      <c r="I13" s="452"/>
      <c r="J13" s="452"/>
      <c r="K13" s="453" t="s">
        <v>143</v>
      </c>
      <c r="L13" s="454"/>
      <c r="M13" s="454"/>
      <c r="N13" s="454"/>
      <c r="O13" s="455"/>
      <c r="P13" s="456"/>
      <c r="Q13" s="457"/>
      <c r="R13" s="457"/>
      <c r="S13" s="458"/>
      <c r="T13" s="459"/>
      <c r="U13" s="460"/>
      <c r="V13" s="460"/>
      <c r="W13" s="49"/>
      <c r="X13" s="49"/>
      <c r="Y13" s="49"/>
      <c r="Z13" s="50"/>
      <c r="AC13" s="102">
        <f>42/4</f>
        <v>10.5</v>
      </c>
      <c r="AD13" s="102"/>
      <c r="AE13" s="102"/>
      <c r="AF13" s="102"/>
      <c r="AG13" s="103">
        <v>9</v>
      </c>
    </row>
    <row r="14" ht="39.9" customHeight="1" spans="1:33">
      <c r="A14" s="70">
        <v>4</v>
      </c>
      <c r="B14" s="33" t="s">
        <v>39</v>
      </c>
      <c r="C14" s="461"/>
      <c r="D14" s="462"/>
      <c r="E14" s="462"/>
      <c r="F14" s="463"/>
      <c r="G14" s="464"/>
      <c r="H14" s="465"/>
      <c r="I14" s="409"/>
      <c r="J14" s="410"/>
      <c r="K14" s="466"/>
      <c r="L14" s="411"/>
      <c r="M14" s="409"/>
      <c r="N14" s="467"/>
      <c r="O14" s="468" t="s">
        <v>49</v>
      </c>
      <c r="P14" s="412"/>
      <c r="Q14" s="413"/>
      <c r="R14" s="413"/>
      <c r="S14" s="469"/>
      <c r="T14" s="470"/>
      <c r="U14" s="416"/>
      <c r="V14" s="416"/>
      <c r="W14" s="49"/>
      <c r="X14" s="49"/>
      <c r="Y14" s="49"/>
      <c r="Z14" s="50"/>
      <c r="AC14" s="102">
        <f>30/4</f>
        <v>7.5</v>
      </c>
      <c r="AD14" s="102"/>
      <c r="AE14" s="102"/>
      <c r="AF14" s="102"/>
      <c r="AG14" s="114">
        <v>5</v>
      </c>
    </row>
    <row r="15" ht="39.9" customHeight="1" spans="1:33">
      <c r="A15" s="53"/>
      <c r="B15" s="54" t="s">
        <v>45</v>
      </c>
      <c r="C15" s="417"/>
      <c r="D15" s="418"/>
      <c r="E15" s="418"/>
      <c r="F15" s="419"/>
      <c r="G15" s="471"/>
      <c r="H15" s="472"/>
      <c r="I15" s="418"/>
      <c r="J15" s="473" t="s">
        <v>144</v>
      </c>
      <c r="K15" s="474"/>
      <c r="L15" s="454"/>
      <c r="M15" s="475"/>
      <c r="N15" s="476"/>
      <c r="O15" s="477"/>
      <c r="P15" s="478"/>
      <c r="Q15" s="479"/>
      <c r="R15" s="479"/>
      <c r="S15" s="480"/>
      <c r="T15" s="481"/>
      <c r="U15" s="482"/>
      <c r="V15" s="460"/>
      <c r="W15" s="49"/>
      <c r="X15" s="49"/>
      <c r="Y15" s="49"/>
      <c r="Z15" s="50"/>
    </row>
    <row r="16" ht="39.9" customHeight="1" spans="1:33">
      <c r="A16" s="70">
        <v>5</v>
      </c>
      <c r="B16" s="33" t="s">
        <v>39</v>
      </c>
      <c r="C16" s="483"/>
      <c r="D16" s="433"/>
      <c r="E16" s="433"/>
      <c r="F16" s="434"/>
      <c r="G16" s="484" t="s">
        <v>53</v>
      </c>
      <c r="H16" s="485"/>
      <c r="I16" s="485"/>
      <c r="J16" s="77" t="s">
        <v>145</v>
      </c>
      <c r="K16" s="133" t="s">
        <v>54</v>
      </c>
      <c r="L16" s="486" t="s">
        <v>53</v>
      </c>
      <c r="M16" s="487"/>
      <c r="N16" s="487"/>
      <c r="O16" s="488"/>
      <c r="P16" s="484" t="s">
        <v>53</v>
      </c>
      <c r="Q16" s="487"/>
      <c r="R16" s="489" t="s">
        <v>146</v>
      </c>
      <c r="S16" s="489" t="s">
        <v>147</v>
      </c>
      <c r="T16" s="490" t="s">
        <v>53</v>
      </c>
      <c r="U16" s="491"/>
      <c r="V16" s="492"/>
      <c r="W16" s="49"/>
      <c r="X16" s="49"/>
      <c r="Y16" s="49"/>
      <c r="Z16" s="50"/>
    </row>
    <row r="17" ht="36.75" customHeight="1" spans="1:31">
      <c r="A17" s="53"/>
      <c r="B17" s="54" t="s">
        <v>45</v>
      </c>
      <c r="C17" s="447"/>
      <c r="D17" s="448"/>
      <c r="E17" s="448"/>
      <c r="F17" s="449"/>
      <c r="G17" s="493"/>
      <c r="H17" s="494"/>
      <c r="I17" s="495" t="s">
        <v>148</v>
      </c>
      <c r="J17" s="495" t="s">
        <v>149</v>
      </c>
      <c r="K17" s="145"/>
      <c r="L17" s="496"/>
      <c r="M17" s="497"/>
      <c r="N17" s="498"/>
      <c r="O17" s="499"/>
      <c r="P17" s="500"/>
      <c r="Q17" s="497"/>
      <c r="R17" s="497"/>
      <c r="S17" s="501"/>
      <c r="T17" s="383"/>
      <c r="U17" s="502"/>
      <c r="V17" s="503"/>
      <c r="W17" s="49"/>
      <c r="X17" s="49"/>
      <c r="Y17" s="49"/>
      <c r="Z17" s="50"/>
      <c r="AE17" s="156"/>
    </row>
    <row r="18" ht="42" customHeight="1" spans="1:31">
      <c r="A18" s="70">
        <v>6</v>
      </c>
      <c r="B18" s="33" t="s">
        <v>39</v>
      </c>
      <c r="C18" s="461"/>
      <c r="D18" s="462"/>
      <c r="E18" s="504"/>
      <c r="F18" s="505" t="s">
        <v>150</v>
      </c>
      <c r="G18" s="506"/>
      <c r="H18" s="507"/>
      <c r="I18" s="508"/>
      <c r="J18" s="509"/>
      <c r="K18" s="160" t="s">
        <v>61</v>
      </c>
      <c r="L18" s="411"/>
      <c r="M18" s="510"/>
      <c r="N18" s="511"/>
      <c r="O18" s="512"/>
      <c r="P18" s="513"/>
      <c r="Q18" s="514"/>
      <c r="R18" s="514"/>
      <c r="S18" s="515"/>
      <c r="T18" s="388"/>
      <c r="U18" s="516"/>
      <c r="V18" s="446"/>
      <c r="W18" s="49"/>
      <c r="X18" s="49"/>
      <c r="Y18" s="49"/>
      <c r="Z18" s="50"/>
    </row>
    <row r="19" ht="38.25" customHeight="1" spans="1:31">
      <c r="A19" s="27"/>
      <c r="B19" s="168" t="s">
        <v>45</v>
      </c>
      <c r="C19" s="517"/>
      <c r="D19" s="518"/>
      <c r="E19" s="519"/>
      <c r="F19" s="520"/>
      <c r="G19" s="521"/>
      <c r="H19" s="522"/>
      <c r="I19" s="519"/>
      <c r="J19" s="520"/>
      <c r="K19" s="174"/>
      <c r="L19" s="523" t="s">
        <v>151</v>
      </c>
      <c r="M19" s="523" t="s">
        <v>152</v>
      </c>
      <c r="N19" s="524"/>
      <c r="O19" s="525"/>
      <c r="P19" s="526" t="s">
        <v>153</v>
      </c>
      <c r="Q19" s="527" t="s">
        <v>154</v>
      </c>
      <c r="R19" s="528"/>
      <c r="S19" s="529"/>
      <c r="T19" s="530"/>
      <c r="U19" s="531" t="s">
        <v>155</v>
      </c>
      <c r="V19" s="532" t="s">
        <v>64</v>
      </c>
      <c r="W19" s="186"/>
      <c r="X19" s="186"/>
      <c r="Y19" s="186"/>
      <c r="Z19" s="187"/>
    </row>
    <row r="20" ht="23.25" hidden="1" customHeight="1" spans="1:31">
      <c r="A20" s="188"/>
      <c r="B20" s="189"/>
      <c r="C20" s="190"/>
      <c r="D20" s="190"/>
      <c r="E20" s="190"/>
      <c r="F20" s="190"/>
      <c r="G20" s="190"/>
      <c r="H20" s="190"/>
      <c r="I20" s="191"/>
      <c r="J20" s="192"/>
      <c r="K20" s="190"/>
      <c r="L20" s="190"/>
      <c r="M20" s="190"/>
      <c r="N20" s="190"/>
      <c r="O20" s="190"/>
      <c r="P20" s="190"/>
      <c r="Q20" s="192"/>
      <c r="R20" s="190"/>
      <c r="S20" s="190"/>
      <c r="T20" s="190"/>
      <c r="U20" s="190"/>
      <c r="V20" s="190"/>
      <c r="W20" s="192"/>
      <c r="X20" s="190"/>
      <c r="Y20" s="190"/>
      <c r="Z20" s="193"/>
    </row>
    <row r="21" ht="18.75" spans="1:31">
      <c r="A21" s="194"/>
      <c r="B21" s="195"/>
      <c r="C21" s="195"/>
      <c r="D21" s="196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7"/>
    </row>
    <row r="22" s="1" customFormat="1" ht="29.25" customHeight="1" spans="1:31">
      <c r="A22" s="198" t="s">
        <v>65</v>
      </c>
      <c r="B22" s="199"/>
      <c r="C22" s="200" t="s">
        <v>66</v>
      </c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1"/>
      <c r="AA22" s="202"/>
      <c r="AB22" s="203"/>
      <c r="AC22" s="204"/>
      <c r="AD22" s="156"/>
      <c r="AE22" s="156"/>
    </row>
    <row r="23" s="1" customFormat="1" ht="13.5" customHeight="1" spans="1:31">
      <c r="A23" s="205"/>
      <c r="B23" s="206"/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8"/>
      <c r="T23" s="209"/>
      <c r="U23" s="207"/>
      <c r="V23" s="207"/>
      <c r="W23" s="208"/>
      <c r="X23" s="207"/>
      <c r="Y23" s="209"/>
      <c r="Z23" s="210"/>
      <c r="AA23" s="207"/>
      <c r="AB23" s="203"/>
      <c r="AC23" s="204"/>
      <c r="AD23" s="156"/>
      <c r="AE23" s="156"/>
    </row>
    <row r="24" customFormat="1" ht="25.5" customHeight="1" spans="1:31">
      <c r="A24" s="211" t="s">
        <v>67</v>
      </c>
      <c r="B24" s="212" t="s">
        <v>68</v>
      </c>
      <c r="C24" s="213"/>
      <c r="D24" s="214"/>
      <c r="E24" s="215" t="s">
        <v>69</v>
      </c>
      <c r="F24" s="216" t="s">
        <v>70</v>
      </c>
      <c r="G24" s="217" t="s">
        <v>71</v>
      </c>
      <c r="H24" s="217"/>
      <c r="I24" s="217"/>
      <c r="J24" s="217"/>
      <c r="K24" s="218" t="s">
        <v>72</v>
      </c>
      <c r="L24" s="219"/>
      <c r="M24" s="220" t="s">
        <v>73</v>
      </c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2"/>
      <c r="Z24" s="223"/>
      <c r="AA24" s="196"/>
      <c r="AB24" s="2"/>
      <c r="AC24" s="2"/>
      <c r="AD24" s="156"/>
      <c r="AE24" s="2"/>
    </row>
    <row r="25" customFormat="1" ht="25.5" customHeight="1" spans="1:31">
      <c r="A25" s="224"/>
      <c r="B25" s="225"/>
      <c r="C25" s="226"/>
      <c r="D25" s="227"/>
      <c r="E25" s="228"/>
      <c r="F25" s="229"/>
      <c r="G25" s="230" t="s">
        <v>55</v>
      </c>
      <c r="H25" s="230" t="s">
        <v>43</v>
      </c>
      <c r="I25" s="230" t="s">
        <v>74</v>
      </c>
      <c r="J25" s="229" t="s">
        <v>75</v>
      </c>
      <c r="K25" s="218"/>
      <c r="L25" s="231"/>
      <c r="M25" s="232"/>
      <c r="N25" s="233" t="s">
        <v>76</v>
      </c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34"/>
      <c r="AA25" s="196"/>
      <c r="AB25" s="2"/>
      <c r="AC25" s="2"/>
      <c r="AD25" s="2"/>
      <c r="AE25" s="2"/>
    </row>
    <row r="26" customFormat="1" ht="23.1" customHeight="1" spans="1:31">
      <c r="A26" s="235" t="s">
        <v>156</v>
      </c>
      <c r="B26" s="236" t="s">
        <v>157</v>
      </c>
      <c r="C26" s="237"/>
      <c r="D26" s="238"/>
      <c r="E26" s="239" t="s">
        <v>79</v>
      </c>
      <c r="F26" s="239">
        <v>4</v>
      </c>
      <c r="G26" s="239">
        <v>42</v>
      </c>
      <c r="H26" s="239">
        <v>72</v>
      </c>
      <c r="I26" s="239">
        <v>6</v>
      </c>
      <c r="J26" s="240">
        <f t="shared" ref="J26:J35" si="0">SUM(G26:I26)</f>
        <v>120</v>
      </c>
      <c r="K26" s="241"/>
      <c r="L26" s="242"/>
      <c r="M26" s="243"/>
      <c r="N26" s="244"/>
      <c r="O26" s="245"/>
      <c r="P26" s="246"/>
      <c r="Q26" s="232"/>
      <c r="R26" s="246"/>
      <c r="S26" s="246"/>
      <c r="T26" s="195"/>
      <c r="U26" s="195"/>
      <c r="V26" s="195"/>
      <c r="W26" s="195"/>
      <c r="X26" s="195"/>
      <c r="Y26" s="195"/>
      <c r="Z26" s="197"/>
      <c r="AA26" s="247"/>
      <c r="AB26" s="2"/>
      <c r="AC26" s="2"/>
      <c r="AD26" s="2"/>
      <c r="AE26" s="2"/>
    </row>
    <row r="27" customFormat="1" ht="23.1" customHeight="1" spans="1:31">
      <c r="A27" s="533" t="s">
        <v>158</v>
      </c>
      <c r="B27" s="534" t="s">
        <v>159</v>
      </c>
      <c r="C27" s="535"/>
      <c r="D27" s="536"/>
      <c r="E27" s="537" t="s">
        <v>160</v>
      </c>
      <c r="F27" s="537">
        <v>3</v>
      </c>
      <c r="G27" s="537">
        <v>42</v>
      </c>
      <c r="H27" s="537">
        <v>45</v>
      </c>
      <c r="I27" s="537">
        <v>3</v>
      </c>
      <c r="J27" s="538">
        <f t="shared" si="0"/>
        <v>90</v>
      </c>
      <c r="K27" s="539"/>
      <c r="L27" s="242"/>
      <c r="M27" s="243"/>
      <c r="N27" s="244"/>
      <c r="O27" s="245"/>
      <c r="P27" s="246"/>
      <c r="Q27" s="232"/>
      <c r="R27" s="246"/>
      <c r="S27" s="246"/>
      <c r="T27" s="195"/>
      <c r="U27" s="195"/>
      <c r="V27" s="195"/>
      <c r="W27" s="195"/>
      <c r="X27" s="249" t="s">
        <v>83</v>
      </c>
      <c r="Y27" s="195"/>
      <c r="Z27" s="197"/>
      <c r="AA27" s="247"/>
      <c r="AB27" s="2"/>
      <c r="AC27" s="2"/>
      <c r="AD27" s="2"/>
      <c r="AE27" s="2"/>
    </row>
    <row r="28" customFormat="1" ht="23.1" customHeight="1" spans="1:31">
      <c r="A28" s="540" t="s">
        <v>161</v>
      </c>
      <c r="B28" s="541" t="s">
        <v>162</v>
      </c>
      <c r="C28" s="542"/>
      <c r="D28" s="543"/>
      <c r="E28" s="544" t="s">
        <v>79</v>
      </c>
      <c r="F28" s="544">
        <v>1</v>
      </c>
      <c r="G28" s="544">
        <v>10</v>
      </c>
      <c r="H28" s="544">
        <v>16</v>
      </c>
      <c r="I28" s="544">
        <v>1</v>
      </c>
      <c r="J28" s="545">
        <f t="shared" si="0"/>
        <v>27</v>
      </c>
      <c r="K28" s="546"/>
      <c r="L28" s="257" t="s">
        <v>87</v>
      </c>
      <c r="M28" s="258"/>
      <c r="N28" s="258"/>
      <c r="O28" s="258"/>
      <c r="P28" s="258"/>
      <c r="Q28" s="259"/>
      <c r="R28" s="246"/>
      <c r="S28" s="258" t="s">
        <v>88</v>
      </c>
      <c r="T28" s="196"/>
      <c r="U28" s="195"/>
      <c r="V28" s="195"/>
      <c r="W28" s="195"/>
      <c r="X28" s="232" t="s">
        <v>89</v>
      </c>
      <c r="Y28" s="195"/>
      <c r="Z28" s="197"/>
      <c r="AA28" s="247"/>
      <c r="AB28" s="2"/>
      <c r="AC28" s="2"/>
      <c r="AD28" s="2"/>
      <c r="AE28" s="2"/>
    </row>
    <row r="29" customFormat="1" ht="23.1" customHeight="1" spans="1:31">
      <c r="A29" s="547" t="s">
        <v>90</v>
      </c>
      <c r="B29" s="548" t="s">
        <v>91</v>
      </c>
      <c r="C29" s="549"/>
      <c r="D29" s="550"/>
      <c r="E29" s="551" t="s">
        <v>92</v>
      </c>
      <c r="F29" s="551">
        <v>2</v>
      </c>
      <c r="G29" s="551">
        <v>2</v>
      </c>
      <c r="H29" s="552">
        <v>54</v>
      </c>
      <c r="I29" s="552">
        <v>4</v>
      </c>
      <c r="J29" s="553">
        <f t="shared" si="0"/>
        <v>60</v>
      </c>
      <c r="K29" s="554"/>
      <c r="L29" s="242"/>
      <c r="M29" s="195"/>
      <c r="N29" s="258"/>
      <c r="O29" s="196"/>
      <c r="P29" s="246"/>
      <c r="Q29" s="232"/>
      <c r="R29" s="246"/>
      <c r="S29" s="258" t="s">
        <v>93</v>
      </c>
      <c r="T29" s="196"/>
      <c r="U29" s="195"/>
      <c r="V29" s="195"/>
      <c r="W29" s="195"/>
      <c r="X29" s="232" t="s">
        <v>94</v>
      </c>
      <c r="Y29" s="195"/>
      <c r="Z29" s="197"/>
      <c r="AA29" s="247"/>
      <c r="AB29" s="2"/>
      <c r="AC29" s="2"/>
      <c r="AD29" s="2"/>
      <c r="AE29" s="2"/>
    </row>
    <row r="30" customFormat="1" ht="23.1" customHeight="1" spans="1:31">
      <c r="A30" s="555" t="s">
        <v>95</v>
      </c>
      <c r="B30" s="556" t="s">
        <v>96</v>
      </c>
      <c r="C30" s="557"/>
      <c r="D30" s="558"/>
      <c r="E30" s="559" t="s">
        <v>92</v>
      </c>
      <c r="F30" s="559">
        <v>3</v>
      </c>
      <c r="G30" s="559">
        <v>34</v>
      </c>
      <c r="H30" s="559">
        <v>37</v>
      </c>
      <c r="I30" s="559">
        <v>4</v>
      </c>
      <c r="J30" s="560">
        <f t="shared" si="0"/>
        <v>75</v>
      </c>
      <c r="K30" s="561"/>
      <c r="L30" s="242"/>
      <c r="M30" s="195"/>
      <c r="N30" s="268"/>
      <c r="O30" s="196"/>
      <c r="P30" s="246"/>
      <c r="Q30" s="232"/>
      <c r="R30" s="246"/>
      <c r="S30" s="232"/>
      <c r="T30" s="196"/>
      <c r="U30" s="195"/>
      <c r="V30" s="195"/>
      <c r="W30" s="195"/>
      <c r="X30" s="196"/>
      <c r="Y30" s="195"/>
      <c r="Z30" s="197"/>
      <c r="AA30" s="247"/>
      <c r="AB30" s="2"/>
      <c r="AC30" s="2"/>
      <c r="AD30" s="2"/>
      <c r="AE30" s="2"/>
    </row>
    <row r="31" customFormat="1" ht="23.1" customHeight="1" spans="1:31">
      <c r="A31" s="278" t="s">
        <v>97</v>
      </c>
      <c r="B31" s="279" t="s">
        <v>98</v>
      </c>
      <c r="C31" s="280"/>
      <c r="D31" s="281"/>
      <c r="E31" s="282" t="s">
        <v>82</v>
      </c>
      <c r="F31" s="282">
        <v>2</v>
      </c>
      <c r="G31" s="282">
        <v>30</v>
      </c>
      <c r="H31" s="282">
        <v>15</v>
      </c>
      <c r="I31" s="282">
        <v>3</v>
      </c>
      <c r="J31" s="562">
        <f t="shared" si="0"/>
        <v>48</v>
      </c>
      <c r="K31" s="284"/>
      <c r="L31" s="242"/>
      <c r="M31" s="195"/>
      <c r="N31" s="195"/>
      <c r="O31" s="195"/>
      <c r="P31" s="195"/>
      <c r="Q31" s="195"/>
      <c r="R31" s="195"/>
      <c r="S31" s="277"/>
      <c r="T31" s="196"/>
      <c r="U31" s="195"/>
      <c r="V31" s="195"/>
      <c r="W31" s="195"/>
      <c r="X31" s="268"/>
      <c r="Y31" s="195"/>
      <c r="Z31" s="197"/>
      <c r="AA31" s="249"/>
      <c r="AB31" s="2"/>
      <c r="AC31" s="2"/>
      <c r="AD31" s="2"/>
      <c r="AE31" s="2"/>
    </row>
    <row r="32" customFormat="1" ht="23.1" customHeight="1" spans="1:31">
      <c r="A32" s="285" t="s">
        <v>163</v>
      </c>
      <c r="B32" s="286" t="s">
        <v>164</v>
      </c>
      <c r="C32" s="287"/>
      <c r="D32" s="288"/>
      <c r="E32" s="289" t="s">
        <v>160</v>
      </c>
      <c r="F32" s="289">
        <v>2</v>
      </c>
      <c r="G32" s="289">
        <v>28</v>
      </c>
      <c r="H32" s="289">
        <v>30</v>
      </c>
      <c r="I32" s="289">
        <v>2</v>
      </c>
      <c r="J32" s="290">
        <f t="shared" si="0"/>
        <v>60</v>
      </c>
      <c r="K32" s="291"/>
      <c r="L32" s="242"/>
      <c r="M32" s="195"/>
      <c r="N32" s="195"/>
      <c r="O32" s="196"/>
      <c r="P32" s="195"/>
      <c r="Q32" s="268"/>
      <c r="R32" s="258"/>
      <c r="S32" s="195"/>
      <c r="T32" s="196"/>
      <c r="U32" s="258"/>
      <c r="V32" s="258"/>
      <c r="W32" s="268"/>
      <c r="X32" s="196"/>
      <c r="Y32" s="249"/>
      <c r="Z32" s="197"/>
      <c r="AA32" s="232"/>
      <c r="AB32" s="2"/>
      <c r="AC32" s="2"/>
      <c r="AD32" s="2"/>
      <c r="AE32" s="2"/>
    </row>
    <row r="33" customFormat="1" ht="23.1" customHeight="1" spans="1:31">
      <c r="A33" s="260" t="s">
        <v>165</v>
      </c>
      <c r="B33" s="261" t="s">
        <v>166</v>
      </c>
      <c r="C33" s="262"/>
      <c r="D33" s="263"/>
      <c r="E33" s="264" t="s">
        <v>86</v>
      </c>
      <c r="F33" s="264">
        <v>5</v>
      </c>
      <c r="G33" s="264">
        <v>41</v>
      </c>
      <c r="H33" s="264">
        <v>29</v>
      </c>
      <c r="I33" s="264">
        <v>5</v>
      </c>
      <c r="J33" s="266">
        <f t="shared" si="0"/>
        <v>75</v>
      </c>
      <c r="K33" s="293"/>
      <c r="L33" s="242"/>
      <c r="M33" s="268"/>
      <c r="N33" s="195"/>
      <c r="O33" s="258"/>
      <c r="P33" s="258"/>
      <c r="Q33" s="268"/>
      <c r="R33" s="232"/>
      <c r="S33" s="195"/>
      <c r="T33" s="196"/>
      <c r="U33" s="232"/>
      <c r="V33" s="232"/>
      <c r="W33" s="268"/>
      <c r="X33" s="196"/>
      <c r="Y33" s="232"/>
      <c r="Z33" s="197"/>
      <c r="AA33" s="232"/>
      <c r="AB33" s="2"/>
      <c r="AC33" s="2"/>
      <c r="AD33" s="2"/>
      <c r="AE33" s="2"/>
    </row>
    <row r="34" customFormat="1" ht="23.1" customHeight="1" spans="1:31">
      <c r="A34" s="269" t="s">
        <v>84</v>
      </c>
      <c r="B34" s="270" t="s">
        <v>85</v>
      </c>
      <c r="C34" s="271"/>
      <c r="D34" s="272"/>
      <c r="E34" s="273" t="s">
        <v>86</v>
      </c>
      <c r="F34" s="274">
        <v>2</v>
      </c>
      <c r="G34" s="274">
        <v>18</v>
      </c>
      <c r="H34" s="273">
        <v>10</v>
      </c>
      <c r="I34" s="274">
        <v>2</v>
      </c>
      <c r="J34" s="275">
        <f t="shared" si="0"/>
        <v>30</v>
      </c>
      <c r="K34" s="276"/>
      <c r="L34" s="242"/>
      <c r="M34" s="195"/>
      <c r="N34" s="195"/>
      <c r="O34" s="196"/>
      <c r="P34" s="195"/>
      <c r="Q34" s="195"/>
      <c r="R34" s="195"/>
      <c r="S34" s="196"/>
      <c r="T34" s="196"/>
      <c r="U34" s="277"/>
      <c r="V34" s="277"/>
      <c r="W34" s="268"/>
      <c r="X34" s="196"/>
      <c r="Y34" s="232"/>
      <c r="Z34" s="197"/>
      <c r="AA34" s="196"/>
      <c r="AB34" s="2"/>
      <c r="AC34" s="2"/>
      <c r="AD34" s="2"/>
      <c r="AE34" s="2"/>
    </row>
    <row r="35" customFormat="1" ht="23.1" customHeight="1" spans="1:31">
      <c r="A35" s="563" t="s">
        <v>167</v>
      </c>
      <c r="B35" s="564" t="s">
        <v>168</v>
      </c>
      <c r="C35" s="564"/>
      <c r="D35" s="564"/>
      <c r="E35" s="565" t="s">
        <v>160</v>
      </c>
      <c r="F35" s="566">
        <v>3</v>
      </c>
      <c r="G35" s="566">
        <v>42</v>
      </c>
      <c r="H35" s="565">
        <v>30</v>
      </c>
      <c r="I35" s="566">
        <v>3</v>
      </c>
      <c r="J35" s="567">
        <f t="shared" si="0"/>
        <v>75</v>
      </c>
      <c r="K35" s="568"/>
      <c r="L35" s="257" t="s">
        <v>105</v>
      </c>
      <c r="M35" s="258"/>
      <c r="N35" s="258"/>
      <c r="O35" s="258"/>
      <c r="P35" s="258"/>
      <c r="Q35" s="259"/>
      <c r="R35" s="195"/>
      <c r="S35" s="258" t="s">
        <v>106</v>
      </c>
      <c r="T35" s="196"/>
      <c r="U35" s="195"/>
      <c r="V35" s="195"/>
      <c r="W35" s="195"/>
      <c r="X35" s="258" t="s">
        <v>107</v>
      </c>
      <c r="Y35" s="195"/>
      <c r="Z35" s="197"/>
      <c r="AA35" s="196"/>
      <c r="AB35" s="2"/>
      <c r="AC35" s="2"/>
      <c r="AD35" s="2"/>
      <c r="AE35" s="2"/>
    </row>
    <row r="36" customFormat="1" ht="23.1" customHeight="1" spans="1:31">
      <c r="A36" s="295" t="s">
        <v>80</v>
      </c>
      <c r="B36" s="569" t="s">
        <v>81</v>
      </c>
      <c r="C36" s="569"/>
      <c r="D36" s="569"/>
      <c r="E36" s="299" t="s">
        <v>82</v>
      </c>
      <c r="F36" s="300">
        <v>2</v>
      </c>
      <c r="G36" s="300">
        <v>30</v>
      </c>
      <c r="H36" s="299">
        <v>0</v>
      </c>
      <c r="I36" s="300">
        <v>3</v>
      </c>
      <c r="J36" s="570">
        <v>33</v>
      </c>
      <c r="K36" s="303"/>
      <c r="L36" s="242"/>
      <c r="M36" s="195"/>
      <c r="N36" s="258"/>
      <c r="O36" s="196"/>
      <c r="P36" s="195"/>
      <c r="Q36" s="195"/>
      <c r="R36" s="195"/>
      <c r="S36" s="196"/>
      <c r="T36" s="258"/>
      <c r="U36" s="195"/>
      <c r="V36" s="195"/>
      <c r="W36" s="195"/>
      <c r="X36" s="195"/>
      <c r="Y36" s="195"/>
      <c r="Z36" s="304"/>
      <c r="AA36" s="196"/>
      <c r="AB36" s="2"/>
      <c r="AC36" s="2"/>
      <c r="AD36" s="2"/>
      <c r="AE36" s="2"/>
    </row>
    <row r="37" customFormat="1" ht="23.1" customHeight="1" spans="1:31">
      <c r="A37" s="305" t="s">
        <v>112</v>
      </c>
      <c r="B37" s="306"/>
      <c r="C37" s="306"/>
      <c r="D37" s="306"/>
      <c r="E37" s="307"/>
      <c r="F37" s="308">
        <f>SUM(F26:F34)</f>
        <v>24</v>
      </c>
      <c r="G37" s="308">
        <f>SUM(G26:G34)</f>
        <v>247</v>
      </c>
      <c r="H37" s="308">
        <f>SUM(H26:H34)</f>
        <v>308</v>
      </c>
      <c r="I37" s="308">
        <f>SUM(I26:I34)</f>
        <v>30</v>
      </c>
      <c r="J37" s="308">
        <f>SUM(J26:J34)</f>
        <v>585</v>
      </c>
      <c r="K37" s="309"/>
      <c r="L37" s="192"/>
      <c r="M37" s="190"/>
      <c r="N37" s="310"/>
      <c r="O37" s="189"/>
      <c r="P37" s="190"/>
      <c r="Q37" s="190"/>
      <c r="R37" s="190"/>
      <c r="S37" s="190"/>
      <c r="T37" s="310"/>
      <c r="U37" s="190"/>
      <c r="V37" s="190"/>
      <c r="W37" s="190"/>
      <c r="X37" s="190"/>
      <c r="Y37" s="190"/>
      <c r="Z37" s="311"/>
      <c r="AA37" s="196"/>
      <c r="AB37" s="2"/>
      <c r="AC37" s="2"/>
      <c r="AD37" s="2"/>
      <c r="AE37" s="2"/>
    </row>
    <row r="38" customFormat="1" ht="22.5" spans="1:31">
      <c r="A38" s="196"/>
      <c r="B38" s="196"/>
      <c r="C38" s="196"/>
      <c r="D38" s="196"/>
      <c r="E38" s="196"/>
      <c r="F38" s="196"/>
      <c r="G38" s="196"/>
      <c r="H38" s="196"/>
      <c r="I38" s="195"/>
      <c r="J38" s="246"/>
      <c r="K38" s="196"/>
      <c r="L38" s="195"/>
      <c r="M38" s="195"/>
      <c r="O38" s="196"/>
      <c r="P38" s="195"/>
      <c r="Q38" s="195"/>
      <c r="R38" s="195"/>
      <c r="S38" s="195"/>
      <c r="U38" s="196"/>
      <c r="V38" s="196"/>
      <c r="W38" s="196"/>
      <c r="X38" s="196"/>
      <c r="Y38" s="196"/>
      <c r="AA38" s="196"/>
      <c r="AB38" s="2"/>
      <c r="AC38" s="2"/>
      <c r="AD38" s="2"/>
      <c r="AE38" s="2"/>
    </row>
    <row r="39" ht="18.75" spans="1:31">
      <c r="A39" s="312"/>
      <c r="B39" s="312"/>
      <c r="C39" s="312"/>
      <c r="D39" s="312"/>
      <c r="E39" s="312"/>
      <c r="F39" s="312"/>
      <c r="G39" s="312"/>
      <c r="H39" s="312"/>
      <c r="I39" s="312"/>
      <c r="J39" s="312"/>
      <c r="K39" s="312"/>
      <c r="L39" s="312"/>
      <c r="M39" s="312"/>
      <c r="N39" s="312"/>
      <c r="O39" s="312"/>
      <c r="P39" s="312"/>
      <c r="Q39" s="312"/>
      <c r="R39" s="312"/>
      <c r="S39" s="312"/>
      <c r="T39" s="312"/>
      <c r="U39" s="312"/>
      <c r="V39" s="312"/>
      <c r="W39" s="312"/>
      <c r="X39" s="312"/>
      <c r="Y39" s="312"/>
    </row>
    <row r="40" ht="18.75" spans="1:31">
      <c r="A40" s="312"/>
      <c r="B40" s="312"/>
      <c r="C40" s="312"/>
      <c r="D40" s="312"/>
      <c r="E40" s="312"/>
      <c r="F40" s="312"/>
      <c r="G40" s="312"/>
      <c r="H40" s="312"/>
      <c r="I40" s="312"/>
      <c r="J40" s="312"/>
      <c r="K40" s="312"/>
      <c r="L40" s="312"/>
      <c r="M40" s="312"/>
      <c r="N40" s="312"/>
      <c r="O40" s="312"/>
      <c r="P40" s="312"/>
      <c r="Q40" s="312"/>
      <c r="R40" s="312"/>
      <c r="S40" s="312"/>
      <c r="T40" s="312"/>
      <c r="U40" s="312"/>
      <c r="V40" s="312"/>
      <c r="W40" s="312"/>
      <c r="X40" s="312"/>
      <c r="Y40" s="312"/>
    </row>
    <row r="41" ht="18.75" spans="1:31">
      <c r="A41" s="312"/>
      <c r="B41" s="312"/>
      <c r="C41" s="312"/>
      <c r="D41" s="312"/>
      <c r="E41" s="312"/>
      <c r="F41" s="312"/>
      <c r="G41" s="312"/>
      <c r="H41" s="312"/>
      <c r="I41" s="312"/>
      <c r="J41" s="312"/>
      <c r="K41" s="312"/>
      <c r="L41" s="312"/>
      <c r="M41" s="312"/>
      <c r="N41" s="312"/>
      <c r="O41" s="312"/>
      <c r="P41" s="312"/>
      <c r="Q41" s="312"/>
      <c r="R41" s="312"/>
      <c r="S41" s="312"/>
      <c r="T41" s="312"/>
      <c r="U41" s="312"/>
      <c r="V41" s="312"/>
      <c r="W41" s="312"/>
      <c r="X41" s="312"/>
      <c r="Y41" s="312"/>
    </row>
    <row r="42" ht="18.75" spans="1:31">
      <c r="A42" s="312"/>
      <c r="B42" s="312"/>
      <c r="C42" s="312"/>
      <c r="D42" s="312"/>
      <c r="E42" s="312"/>
      <c r="F42" s="312"/>
      <c r="G42" s="312"/>
      <c r="H42" s="312"/>
      <c r="I42" s="312"/>
      <c r="J42" s="312"/>
      <c r="K42" s="312"/>
      <c r="L42" s="312"/>
      <c r="M42" s="312"/>
      <c r="N42" s="312"/>
      <c r="O42" s="312"/>
      <c r="P42" s="312"/>
      <c r="Q42" s="312"/>
      <c r="R42" s="312"/>
      <c r="S42" s="312"/>
      <c r="T42" s="312"/>
      <c r="U42" s="312"/>
      <c r="V42" s="312"/>
      <c r="W42" s="312"/>
      <c r="X42" s="312"/>
      <c r="Y42" s="312"/>
    </row>
    <row r="43" ht="18.75" spans="1:31">
      <c r="A43" s="312"/>
      <c r="B43" s="312"/>
      <c r="C43" s="312"/>
      <c r="D43" s="312"/>
      <c r="E43" s="312"/>
      <c r="F43" s="312"/>
      <c r="G43" s="312"/>
      <c r="H43" s="312"/>
      <c r="I43" s="312"/>
      <c r="J43" s="312"/>
      <c r="K43" s="312"/>
      <c r="L43" s="312"/>
      <c r="M43" s="312"/>
      <c r="N43" s="312"/>
      <c r="O43" s="312"/>
      <c r="P43" s="312"/>
      <c r="Q43" s="312"/>
      <c r="R43" s="312"/>
      <c r="S43" s="312"/>
      <c r="T43" s="312"/>
      <c r="U43" s="312"/>
      <c r="V43" s="312"/>
      <c r="W43" s="312"/>
      <c r="X43" s="312"/>
      <c r="Y43" s="312"/>
    </row>
    <row r="44" ht="18.75" spans="1:31">
      <c r="A44" s="312"/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M44" s="312"/>
      <c r="N44" s="312"/>
      <c r="O44" s="312"/>
      <c r="P44" s="312"/>
      <c r="Q44" s="312"/>
      <c r="R44" s="312"/>
      <c r="S44" s="312"/>
      <c r="T44" s="312"/>
      <c r="U44" s="312"/>
      <c r="V44" s="312"/>
      <c r="W44" s="312"/>
      <c r="X44" s="312"/>
      <c r="Y44" s="312"/>
    </row>
    <row r="45" ht="18.75" spans="1:31">
      <c r="A45" s="312"/>
      <c r="B45" s="312"/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M45" s="312"/>
      <c r="N45" s="312"/>
      <c r="O45" s="312"/>
      <c r="P45" s="312"/>
      <c r="Q45" s="313"/>
      <c r="R45" s="312"/>
      <c r="S45" s="312"/>
      <c r="T45" s="312"/>
      <c r="U45" s="312"/>
      <c r="V45" s="312"/>
      <c r="W45" s="312"/>
      <c r="X45" s="312"/>
      <c r="Y45" s="312"/>
    </row>
    <row r="46" ht="18.75" spans="1:31">
      <c r="A46" s="312"/>
      <c r="B46" s="312"/>
      <c r="C46" s="312"/>
      <c r="D46" s="312"/>
      <c r="E46" s="312"/>
      <c r="F46" s="312"/>
      <c r="G46" s="312"/>
      <c r="H46" s="312"/>
      <c r="I46" s="312"/>
      <c r="J46" s="312"/>
      <c r="K46" s="312"/>
      <c r="L46" s="312"/>
      <c r="M46" s="312"/>
      <c r="N46" s="312"/>
      <c r="O46" s="312"/>
      <c r="P46" s="312"/>
      <c r="Q46" s="312"/>
      <c r="R46" s="312"/>
      <c r="S46" s="312"/>
      <c r="T46" s="312"/>
      <c r="U46" s="312"/>
      <c r="V46" s="312"/>
      <c r="W46" s="312"/>
      <c r="X46" s="312"/>
      <c r="Y46" s="312"/>
    </row>
    <row r="47" ht="18.75" spans="1:31">
      <c r="A47" s="312"/>
      <c r="B47" s="312"/>
      <c r="C47" s="312"/>
      <c r="D47" s="312"/>
      <c r="E47" s="312"/>
      <c r="F47" s="312"/>
      <c r="G47" s="312"/>
      <c r="H47" s="312"/>
      <c r="I47" s="312"/>
      <c r="J47" s="312"/>
      <c r="K47" s="312"/>
      <c r="L47" s="312"/>
      <c r="M47" s="312"/>
      <c r="N47" s="312"/>
      <c r="O47" s="312"/>
      <c r="P47" s="312"/>
      <c r="Q47" s="312"/>
      <c r="R47" s="312"/>
      <c r="S47" s="312"/>
      <c r="T47" s="312"/>
      <c r="U47" s="312"/>
      <c r="V47" s="312"/>
      <c r="W47" s="312"/>
      <c r="X47" s="312"/>
      <c r="Y47" s="312"/>
    </row>
    <row r="48" ht="18.75" spans="1:31">
      <c r="A48" s="312"/>
      <c r="B48" s="312"/>
      <c r="C48" s="312"/>
      <c r="D48" s="312"/>
      <c r="E48" s="312"/>
      <c r="F48" s="312"/>
      <c r="G48" s="312"/>
      <c r="H48" s="312"/>
      <c r="I48" s="312"/>
      <c r="J48" s="312"/>
      <c r="K48" s="312"/>
      <c r="L48" s="312"/>
      <c r="M48" s="312"/>
      <c r="N48" s="312"/>
      <c r="O48" s="312"/>
      <c r="P48" s="312"/>
      <c r="Q48" s="312"/>
      <c r="R48" s="312"/>
      <c r="S48" s="312"/>
      <c r="T48" s="312"/>
      <c r="U48" s="312"/>
      <c r="V48" s="312"/>
      <c r="W48" s="312"/>
      <c r="X48" s="312"/>
      <c r="Y48" s="312"/>
    </row>
    <row r="49" ht="18.75" spans="1:25">
      <c r="A49" s="312"/>
      <c r="B49" s="312"/>
      <c r="C49" s="312"/>
      <c r="D49" s="312"/>
      <c r="E49" s="312"/>
      <c r="F49" s="312"/>
      <c r="G49" s="312"/>
      <c r="H49" s="312"/>
      <c r="I49" s="312"/>
      <c r="J49" s="312"/>
      <c r="K49" s="312"/>
      <c r="L49" s="312"/>
      <c r="M49" s="312"/>
      <c r="N49" s="312"/>
      <c r="O49" s="312"/>
      <c r="P49" s="312"/>
      <c r="Q49" s="312"/>
      <c r="R49" s="312"/>
      <c r="S49" s="312"/>
      <c r="T49" s="312"/>
      <c r="U49" s="312"/>
      <c r="V49" s="312"/>
      <c r="W49" s="312"/>
      <c r="X49" s="312"/>
      <c r="Y49" s="312"/>
    </row>
    <row r="50" ht="18.75" spans="1:25">
      <c r="A50" s="312"/>
      <c r="B50" s="312"/>
      <c r="C50" s="312"/>
      <c r="D50" s="312"/>
      <c r="E50" s="312"/>
      <c r="F50" s="312"/>
      <c r="G50" s="312"/>
      <c r="H50" s="312"/>
      <c r="I50" s="312"/>
      <c r="J50" s="312"/>
      <c r="K50" s="312"/>
      <c r="L50" s="312"/>
      <c r="M50" s="312"/>
      <c r="N50" s="312"/>
      <c r="O50" s="312"/>
      <c r="P50" s="312"/>
      <c r="Q50" s="312"/>
      <c r="R50" s="312"/>
      <c r="S50" s="312"/>
      <c r="T50" s="312"/>
      <c r="U50" s="312"/>
      <c r="V50" s="312"/>
      <c r="W50" s="312"/>
      <c r="X50" s="312"/>
      <c r="Y50" s="312"/>
    </row>
    <row r="51" ht="18.75" spans="1:25">
      <c r="A51" s="312"/>
      <c r="B51" s="312"/>
      <c r="C51" s="312"/>
      <c r="D51" s="312"/>
      <c r="E51" s="312"/>
      <c r="F51" s="312"/>
      <c r="G51" s="312"/>
      <c r="H51" s="312"/>
      <c r="I51" s="312"/>
      <c r="J51" s="312"/>
      <c r="K51" s="312"/>
      <c r="L51" s="312"/>
      <c r="M51" s="312"/>
      <c r="N51" s="312"/>
      <c r="O51" s="312"/>
      <c r="P51" s="312"/>
      <c r="Q51" s="312"/>
      <c r="R51" s="312"/>
      <c r="S51" s="312"/>
      <c r="T51" s="312"/>
      <c r="U51" s="312"/>
      <c r="V51" s="312"/>
      <c r="W51" s="312"/>
      <c r="X51" s="312"/>
      <c r="Y51" s="312"/>
    </row>
    <row r="52" ht="18.75" spans="1:25">
      <c r="A52" s="312"/>
      <c r="B52" s="312"/>
      <c r="C52" s="312"/>
      <c r="D52" s="312"/>
      <c r="E52" s="312"/>
      <c r="F52" s="312"/>
      <c r="G52" s="312"/>
      <c r="H52" s="312"/>
      <c r="I52" s="312"/>
      <c r="J52" s="312"/>
      <c r="K52" s="312"/>
      <c r="L52" s="312"/>
      <c r="M52" s="312"/>
      <c r="N52" s="312"/>
      <c r="O52" s="312"/>
      <c r="P52" s="312"/>
      <c r="Q52" s="312"/>
      <c r="R52" s="312"/>
      <c r="S52" s="312"/>
      <c r="T52" s="312"/>
      <c r="U52" s="312"/>
      <c r="V52" s="312"/>
      <c r="W52" s="312"/>
      <c r="X52" s="312"/>
      <c r="Y52" s="312"/>
    </row>
    <row r="53" ht="18.75" spans="1:25">
      <c r="A53" s="312"/>
      <c r="B53" s="312"/>
      <c r="C53" s="312"/>
      <c r="D53" s="312"/>
      <c r="E53" s="312"/>
      <c r="F53" s="312"/>
      <c r="G53" s="312"/>
      <c r="H53" s="312"/>
      <c r="I53" s="312"/>
      <c r="J53" s="312"/>
      <c r="K53" s="312"/>
      <c r="L53" s="312"/>
      <c r="M53" s="312"/>
      <c r="N53" s="312"/>
      <c r="O53" s="312"/>
      <c r="P53" s="312"/>
      <c r="Q53" s="312"/>
      <c r="R53" s="312"/>
      <c r="S53" s="312"/>
      <c r="T53" s="312"/>
      <c r="U53" s="312"/>
      <c r="V53" s="312"/>
      <c r="W53" s="312"/>
      <c r="X53" s="312"/>
      <c r="Y53" s="312"/>
    </row>
    <row r="54" ht="18.75" spans="1:25">
      <c r="A54" s="312"/>
      <c r="B54" s="312"/>
      <c r="C54" s="312"/>
      <c r="D54" s="312"/>
      <c r="E54" s="312"/>
      <c r="F54" s="312"/>
      <c r="G54" s="312"/>
      <c r="H54" s="312"/>
      <c r="I54" s="312"/>
      <c r="J54" s="312"/>
      <c r="K54" s="312"/>
      <c r="L54" s="312"/>
      <c r="M54" s="312"/>
      <c r="N54" s="312"/>
      <c r="O54" s="312"/>
      <c r="P54" s="312"/>
      <c r="Q54" s="312"/>
      <c r="R54" s="312"/>
      <c r="S54" s="312"/>
      <c r="T54" s="312"/>
      <c r="U54" s="312"/>
      <c r="V54" s="312"/>
      <c r="W54" s="312"/>
      <c r="X54" s="312"/>
      <c r="Y54" s="312"/>
    </row>
    <row r="55" ht="18.75" spans="1:25">
      <c r="A55" s="312"/>
      <c r="B55" s="312"/>
      <c r="C55" s="312"/>
      <c r="D55" s="312"/>
      <c r="E55" s="312"/>
      <c r="F55" s="312"/>
      <c r="G55" s="312"/>
      <c r="H55" s="312"/>
      <c r="I55" s="312"/>
      <c r="J55" s="312"/>
      <c r="K55" s="312"/>
      <c r="L55" s="312"/>
      <c r="M55" s="312"/>
      <c r="N55" s="312"/>
      <c r="O55" s="312"/>
      <c r="P55" s="312"/>
      <c r="Q55" s="312"/>
      <c r="R55" s="312"/>
      <c r="S55" s="312"/>
      <c r="T55" s="312"/>
      <c r="U55" s="312"/>
      <c r="V55" s="312"/>
      <c r="W55" s="312"/>
      <c r="X55" s="312"/>
      <c r="Y55" s="312"/>
    </row>
    <row r="56" ht="18.75" spans="1:25">
      <c r="A56" s="312"/>
      <c r="B56" s="312"/>
      <c r="C56" s="312"/>
      <c r="D56" s="312"/>
      <c r="E56" s="312"/>
      <c r="F56" s="312"/>
      <c r="G56" s="312"/>
      <c r="H56" s="312"/>
      <c r="I56" s="312"/>
      <c r="J56" s="312"/>
      <c r="K56" s="312"/>
      <c r="L56" s="312"/>
      <c r="M56" s="312"/>
      <c r="N56" s="312"/>
      <c r="O56" s="312"/>
      <c r="P56" s="312"/>
      <c r="Q56" s="312"/>
      <c r="R56" s="312"/>
      <c r="S56" s="312"/>
      <c r="T56" s="312"/>
      <c r="U56" s="312"/>
      <c r="V56" s="312"/>
      <c r="W56" s="312"/>
      <c r="X56" s="312"/>
      <c r="Y56" s="312"/>
    </row>
    <row r="57" ht="18.75" spans="1:25">
      <c r="A57" s="312"/>
      <c r="B57" s="312"/>
      <c r="C57" s="312"/>
      <c r="D57" s="312"/>
      <c r="E57" s="312"/>
      <c r="F57" s="312"/>
      <c r="G57" s="312"/>
      <c r="H57" s="312"/>
      <c r="I57" s="312"/>
      <c r="J57" s="312"/>
      <c r="K57" s="312"/>
      <c r="L57" s="312"/>
      <c r="M57" s="312"/>
      <c r="N57" s="312"/>
      <c r="O57" s="312"/>
      <c r="P57" s="312"/>
      <c r="Q57" s="312"/>
      <c r="R57" s="312"/>
      <c r="S57" s="312"/>
      <c r="T57" s="312"/>
      <c r="U57" s="312"/>
      <c r="V57" s="312"/>
      <c r="W57" s="312"/>
      <c r="X57" s="312"/>
      <c r="Y57" s="312"/>
    </row>
    <row r="58" ht="18.75" spans="1:25">
      <c r="A58" s="312"/>
      <c r="B58" s="312"/>
      <c r="C58" s="312"/>
      <c r="D58" s="312"/>
      <c r="E58" s="312"/>
      <c r="F58" s="312"/>
      <c r="G58" s="312"/>
      <c r="H58" s="312"/>
      <c r="I58" s="312"/>
      <c r="J58" s="312"/>
      <c r="K58" s="312"/>
      <c r="L58" s="312"/>
      <c r="M58" s="312"/>
      <c r="N58" s="312"/>
      <c r="O58" s="312"/>
      <c r="P58" s="312"/>
      <c r="Q58" s="312"/>
      <c r="R58" s="312"/>
      <c r="S58" s="312"/>
      <c r="T58" s="312"/>
      <c r="U58" s="312"/>
      <c r="V58" s="312"/>
      <c r="W58" s="312"/>
      <c r="X58" s="312"/>
      <c r="Y58" s="312"/>
    </row>
    <row r="59" ht="18.75" spans="1:25">
      <c r="A59" s="312"/>
      <c r="B59" s="312"/>
      <c r="C59" s="312"/>
      <c r="D59" s="312"/>
      <c r="E59" s="312"/>
      <c r="F59" s="312"/>
      <c r="G59" s="312"/>
      <c r="H59" s="312"/>
      <c r="I59" s="312"/>
      <c r="J59" s="312"/>
      <c r="K59" s="312"/>
      <c r="L59" s="312"/>
      <c r="M59" s="312"/>
      <c r="N59" s="312"/>
      <c r="O59" s="312"/>
      <c r="P59" s="312"/>
      <c r="Q59" s="312"/>
      <c r="R59" s="312"/>
      <c r="S59" s="312"/>
      <c r="T59" s="312"/>
      <c r="U59" s="312"/>
      <c r="V59" s="312"/>
      <c r="W59" s="312"/>
      <c r="X59" s="312"/>
      <c r="Y59" s="312"/>
    </row>
    <row r="60" ht="18.75" spans="1:25">
      <c r="A60" s="312"/>
      <c r="B60" s="312"/>
      <c r="C60" s="312"/>
      <c r="D60" s="312"/>
      <c r="E60" s="312"/>
      <c r="F60" s="312"/>
      <c r="G60" s="312"/>
      <c r="H60" s="312"/>
      <c r="I60" s="312"/>
      <c r="J60" s="312"/>
      <c r="K60" s="312"/>
      <c r="L60" s="312"/>
      <c r="M60" s="312"/>
      <c r="N60" s="312"/>
      <c r="O60" s="312"/>
      <c r="P60" s="312"/>
      <c r="Q60" s="312"/>
      <c r="R60" s="312"/>
      <c r="S60" s="312"/>
      <c r="T60" s="312"/>
      <c r="U60" s="312"/>
      <c r="V60" s="312"/>
      <c r="W60" s="312"/>
      <c r="X60" s="312"/>
      <c r="Y60" s="312"/>
    </row>
    <row r="61" ht="18.75" spans="1:25">
      <c r="A61" s="312"/>
      <c r="B61" s="312"/>
      <c r="C61" s="312"/>
      <c r="D61" s="312"/>
      <c r="E61" s="312"/>
      <c r="F61" s="312"/>
      <c r="G61" s="312"/>
      <c r="H61" s="312"/>
      <c r="I61" s="312"/>
      <c r="J61" s="312"/>
      <c r="K61" s="312"/>
      <c r="L61" s="312"/>
      <c r="M61" s="312"/>
      <c r="N61" s="312"/>
      <c r="O61" s="312"/>
      <c r="P61" s="312"/>
      <c r="Q61" s="312"/>
      <c r="R61" s="312"/>
      <c r="S61" s="312"/>
      <c r="T61" s="312"/>
      <c r="U61" s="312"/>
      <c r="V61" s="312"/>
      <c r="W61" s="312"/>
      <c r="X61" s="312"/>
      <c r="Y61" s="312"/>
    </row>
    <row r="62" ht="18.75" spans="1:25">
      <c r="A62" s="312"/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</row>
    <row r="63" ht="18.75" spans="1:25">
      <c r="A63" s="312"/>
      <c r="B63" s="312"/>
      <c r="C63" s="312"/>
      <c r="D63" s="312"/>
      <c r="E63" s="312"/>
      <c r="F63" s="312"/>
      <c r="G63" s="312"/>
      <c r="H63" s="312"/>
      <c r="I63" s="312"/>
      <c r="J63" s="312"/>
      <c r="K63" s="312"/>
      <c r="L63" s="312"/>
      <c r="M63" s="312"/>
      <c r="N63" s="312"/>
      <c r="O63" s="312"/>
      <c r="P63" s="312"/>
      <c r="Q63" s="312"/>
      <c r="R63" s="312"/>
      <c r="S63" s="312"/>
      <c r="T63" s="312"/>
      <c r="U63" s="312"/>
      <c r="V63" s="312"/>
      <c r="W63" s="312"/>
      <c r="X63" s="312"/>
      <c r="Y63" s="312"/>
    </row>
    <row r="64" ht="18.75" spans="1:25">
      <c r="A64" s="312"/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</row>
    <row r="65" ht="18.75" spans="1:25">
      <c r="A65" s="312"/>
      <c r="B65" s="312"/>
      <c r="C65" s="312"/>
      <c r="D65" s="312"/>
      <c r="E65" s="312"/>
      <c r="F65" s="312"/>
      <c r="G65" s="312"/>
      <c r="H65" s="312"/>
      <c r="I65" s="312"/>
      <c r="J65" s="312"/>
      <c r="K65" s="312"/>
      <c r="L65" s="312"/>
      <c r="M65" s="312"/>
      <c r="N65" s="312"/>
      <c r="O65" s="312"/>
      <c r="P65" s="312"/>
      <c r="Q65" s="312"/>
      <c r="R65" s="312"/>
      <c r="S65" s="312"/>
      <c r="T65" s="312"/>
      <c r="U65" s="312"/>
      <c r="V65" s="312"/>
      <c r="W65" s="312"/>
      <c r="X65" s="312"/>
      <c r="Y65" s="312"/>
    </row>
    <row r="66" ht="18.75" spans="1:25">
      <c r="A66" s="312"/>
      <c r="B66" s="312"/>
      <c r="C66" s="312"/>
      <c r="D66" s="312"/>
      <c r="E66" s="312"/>
      <c r="F66" s="312"/>
      <c r="G66" s="312"/>
      <c r="H66" s="312"/>
      <c r="I66" s="312"/>
      <c r="J66" s="312"/>
      <c r="K66" s="312"/>
      <c r="L66" s="312"/>
      <c r="M66" s="312"/>
      <c r="N66" s="312"/>
      <c r="O66" s="312"/>
      <c r="P66" s="312"/>
      <c r="Q66" s="312"/>
      <c r="R66" s="312"/>
      <c r="S66" s="312"/>
      <c r="T66" s="312"/>
      <c r="U66" s="312"/>
      <c r="V66" s="312"/>
      <c r="W66" s="312"/>
      <c r="X66" s="312"/>
      <c r="Y66" s="312"/>
    </row>
    <row r="67" ht="18.75" spans="1:25">
      <c r="A67" s="312"/>
      <c r="B67" s="312"/>
      <c r="C67" s="312"/>
      <c r="D67" s="312"/>
      <c r="E67" s="312"/>
      <c r="F67" s="312"/>
      <c r="G67" s="312"/>
      <c r="H67" s="312"/>
      <c r="I67" s="312"/>
      <c r="J67" s="312"/>
      <c r="K67" s="312"/>
      <c r="L67" s="312"/>
      <c r="M67" s="312"/>
      <c r="N67" s="312"/>
      <c r="O67" s="312"/>
      <c r="P67" s="312"/>
      <c r="Q67" s="312"/>
      <c r="R67" s="312"/>
      <c r="S67" s="312"/>
      <c r="T67" s="312"/>
      <c r="U67" s="312"/>
      <c r="V67" s="312"/>
      <c r="W67" s="312"/>
      <c r="X67" s="312"/>
      <c r="Y67" s="312"/>
    </row>
    <row r="68" ht="18.75" spans="1:25">
      <c r="A68" s="312"/>
      <c r="B68" s="312"/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</row>
    <row r="69" ht="18.75" spans="1:25">
      <c r="A69" s="312"/>
      <c r="B69" s="312"/>
      <c r="C69" s="312"/>
      <c r="D69" s="312"/>
      <c r="E69" s="312"/>
      <c r="F69" s="312"/>
      <c r="G69" s="312"/>
      <c r="H69" s="312"/>
      <c r="I69" s="312"/>
      <c r="J69" s="312"/>
      <c r="K69" s="312"/>
      <c r="L69" s="312"/>
      <c r="M69" s="312"/>
      <c r="N69" s="312"/>
      <c r="O69" s="312"/>
      <c r="P69" s="312"/>
      <c r="Q69" s="312"/>
      <c r="R69" s="312"/>
      <c r="S69" s="312"/>
      <c r="T69" s="312"/>
      <c r="U69" s="312"/>
      <c r="V69" s="312"/>
      <c r="W69" s="312"/>
      <c r="X69" s="312"/>
      <c r="Y69" s="312"/>
    </row>
    <row r="70" ht="18.75" spans="1:25">
      <c r="A70" s="312"/>
      <c r="B70" s="312"/>
      <c r="C70" s="312"/>
      <c r="D70" s="312"/>
      <c r="E70" s="312"/>
      <c r="F70" s="312"/>
      <c r="G70" s="312"/>
      <c r="H70" s="312"/>
      <c r="I70" s="312"/>
      <c r="J70" s="312"/>
      <c r="K70" s="312"/>
      <c r="L70" s="312"/>
      <c r="M70" s="312"/>
      <c r="N70" s="312"/>
      <c r="O70" s="312"/>
      <c r="P70" s="312"/>
      <c r="Q70" s="312"/>
      <c r="R70" s="312"/>
      <c r="S70" s="312"/>
      <c r="T70" s="312"/>
      <c r="U70" s="312"/>
      <c r="V70" s="312"/>
      <c r="W70" s="312"/>
      <c r="X70" s="312"/>
      <c r="Y70" s="312"/>
    </row>
    <row r="71" ht="18.75" spans="1:25">
      <c r="A71" s="312"/>
      <c r="B71" s="312"/>
      <c r="C71" s="312"/>
      <c r="D71" s="312"/>
      <c r="E71" s="312"/>
      <c r="F71" s="312"/>
      <c r="G71" s="312"/>
      <c r="H71" s="312"/>
      <c r="I71" s="312"/>
      <c r="J71" s="312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2"/>
      <c r="X71" s="312"/>
      <c r="Y71" s="312"/>
    </row>
    <row r="72" ht="18.75" spans="1:25">
      <c r="A72" s="312"/>
      <c r="B72" s="312"/>
      <c r="C72" s="312"/>
      <c r="D72" s="312"/>
      <c r="E72" s="312"/>
      <c r="F72" s="312"/>
      <c r="G72" s="312"/>
      <c r="H72" s="312"/>
      <c r="I72" s="312"/>
      <c r="J72" s="312"/>
      <c r="K72" s="312"/>
      <c r="L72" s="312"/>
      <c r="M72" s="312"/>
      <c r="N72" s="312"/>
      <c r="O72" s="312"/>
      <c r="P72" s="312"/>
      <c r="Q72" s="312"/>
      <c r="R72" s="312"/>
      <c r="S72" s="312"/>
      <c r="T72" s="312"/>
      <c r="U72" s="312"/>
      <c r="V72" s="312"/>
      <c r="W72" s="312"/>
      <c r="X72" s="312"/>
      <c r="Y72" s="312"/>
    </row>
    <row r="73" ht="18.75" spans="1:25">
      <c r="A73" s="312"/>
      <c r="B73" s="312"/>
      <c r="C73" s="312"/>
      <c r="D73" s="312"/>
      <c r="E73" s="312"/>
      <c r="F73" s="312"/>
      <c r="G73" s="312"/>
      <c r="H73" s="312"/>
      <c r="I73" s="312"/>
      <c r="J73" s="312"/>
      <c r="K73" s="312"/>
      <c r="L73" s="312"/>
      <c r="M73" s="312"/>
      <c r="N73" s="312"/>
      <c r="O73" s="312"/>
      <c r="P73" s="312"/>
      <c r="Q73" s="312"/>
      <c r="R73" s="312"/>
      <c r="S73" s="312"/>
      <c r="T73" s="312"/>
      <c r="U73" s="312"/>
      <c r="V73" s="312"/>
      <c r="W73" s="312"/>
      <c r="X73" s="312"/>
      <c r="Y73" s="312"/>
    </row>
    <row r="74" ht="18.75" spans="1:25">
      <c r="A74" s="312"/>
      <c r="B74" s="312"/>
      <c r="C74" s="312"/>
      <c r="D74" s="312"/>
      <c r="E74" s="312"/>
      <c r="F74" s="312"/>
      <c r="G74" s="312"/>
      <c r="H74" s="312"/>
      <c r="I74" s="312"/>
      <c r="J74" s="312"/>
      <c r="K74" s="312"/>
      <c r="L74" s="312"/>
      <c r="M74" s="312"/>
      <c r="N74" s="312"/>
      <c r="O74" s="312"/>
      <c r="P74" s="312"/>
      <c r="Q74" s="312"/>
      <c r="R74" s="312"/>
      <c r="S74" s="312"/>
      <c r="T74" s="312"/>
      <c r="U74" s="312"/>
      <c r="V74" s="312"/>
      <c r="W74" s="312"/>
      <c r="X74" s="312"/>
      <c r="Y74" s="312"/>
    </row>
    <row r="75" ht="18.75" spans="1:25">
      <c r="A75" s="312"/>
      <c r="B75" s="312"/>
      <c r="C75" s="312"/>
      <c r="D75" s="312"/>
      <c r="E75" s="312"/>
      <c r="F75" s="312"/>
      <c r="G75" s="312"/>
      <c r="H75" s="312"/>
      <c r="I75" s="312"/>
      <c r="J75" s="312"/>
      <c r="K75" s="312"/>
      <c r="L75" s="312"/>
      <c r="M75" s="312"/>
      <c r="N75" s="312"/>
      <c r="O75" s="312"/>
      <c r="P75" s="312"/>
      <c r="Q75" s="312"/>
      <c r="R75" s="312"/>
      <c r="S75" s="312"/>
      <c r="T75" s="312"/>
      <c r="U75" s="312"/>
      <c r="V75" s="312"/>
      <c r="W75" s="312"/>
      <c r="X75" s="312"/>
      <c r="Y75" s="312"/>
    </row>
    <row r="76" ht="18.75" spans="1:25">
      <c r="A76" s="312"/>
      <c r="B76" s="312"/>
      <c r="C76" s="312"/>
      <c r="D76" s="312"/>
      <c r="E76" s="312"/>
      <c r="F76" s="312"/>
      <c r="G76" s="312"/>
      <c r="H76" s="312"/>
      <c r="I76" s="312"/>
      <c r="J76" s="312"/>
      <c r="K76" s="312"/>
      <c r="L76" s="312"/>
      <c r="M76" s="312"/>
      <c r="N76" s="312"/>
      <c r="O76" s="312"/>
      <c r="P76" s="312"/>
      <c r="Q76" s="312"/>
      <c r="R76" s="312"/>
      <c r="S76" s="312"/>
      <c r="T76" s="312"/>
      <c r="U76" s="312"/>
      <c r="V76" s="312"/>
      <c r="W76" s="312"/>
      <c r="X76" s="312"/>
      <c r="Y76" s="312"/>
    </row>
    <row r="77" ht="18.75" spans="1:25">
      <c r="A77" s="312"/>
      <c r="B77" s="312"/>
      <c r="C77" s="312"/>
      <c r="D77" s="312"/>
      <c r="E77" s="312"/>
      <c r="F77" s="312"/>
      <c r="G77" s="312"/>
      <c r="H77" s="312"/>
      <c r="I77" s="312"/>
      <c r="J77" s="312"/>
      <c r="K77" s="312"/>
      <c r="L77" s="312"/>
      <c r="M77" s="312"/>
      <c r="N77" s="312"/>
      <c r="O77" s="312"/>
      <c r="P77" s="312"/>
      <c r="Q77" s="312"/>
      <c r="R77" s="312"/>
      <c r="S77" s="312"/>
      <c r="T77" s="312"/>
      <c r="U77" s="312"/>
      <c r="V77" s="312"/>
      <c r="W77" s="312"/>
      <c r="X77" s="312"/>
      <c r="Y77" s="312"/>
    </row>
    <row r="78" ht="18.75" spans="1:25">
      <c r="A78" s="312"/>
      <c r="B78" s="312"/>
      <c r="C78" s="312"/>
      <c r="D78" s="312"/>
      <c r="E78" s="312"/>
      <c r="F78" s="312"/>
      <c r="G78" s="312"/>
      <c r="H78" s="312"/>
      <c r="I78" s="312"/>
      <c r="J78" s="312"/>
      <c r="K78" s="312"/>
      <c r="L78" s="312"/>
      <c r="M78" s="312"/>
      <c r="N78" s="312"/>
      <c r="O78" s="312"/>
      <c r="P78" s="312"/>
      <c r="Q78" s="312"/>
      <c r="R78" s="312"/>
      <c r="S78" s="312"/>
      <c r="T78" s="312"/>
      <c r="U78" s="312"/>
      <c r="V78" s="312"/>
      <c r="W78" s="312"/>
      <c r="X78" s="312"/>
      <c r="Y78" s="312"/>
    </row>
    <row r="79" ht="18.75" spans="1:25">
      <c r="A79" s="312"/>
      <c r="B79" s="312"/>
      <c r="C79" s="312"/>
      <c r="D79" s="312"/>
      <c r="E79" s="312"/>
      <c r="F79" s="312"/>
      <c r="G79" s="312"/>
      <c r="H79" s="312"/>
      <c r="I79" s="312"/>
      <c r="J79" s="312"/>
      <c r="K79" s="312"/>
      <c r="L79" s="312"/>
      <c r="M79" s="312"/>
      <c r="N79" s="312"/>
      <c r="O79" s="312"/>
      <c r="P79" s="312"/>
      <c r="Q79" s="312"/>
      <c r="R79" s="312"/>
      <c r="S79" s="312"/>
      <c r="T79" s="312"/>
      <c r="U79" s="312"/>
      <c r="V79" s="312"/>
      <c r="W79" s="312"/>
      <c r="X79" s="312"/>
      <c r="Y79" s="312"/>
    </row>
    <row r="80" ht="18.75" spans="1:25">
      <c r="A80" s="312"/>
      <c r="B80" s="312"/>
      <c r="C80" s="312"/>
      <c r="D80" s="312"/>
      <c r="E80" s="312"/>
      <c r="F80" s="312"/>
      <c r="G80" s="312"/>
      <c r="H80" s="312"/>
      <c r="I80" s="312"/>
      <c r="J80" s="312"/>
      <c r="K80" s="312"/>
      <c r="L80" s="312"/>
      <c r="M80" s="312"/>
      <c r="N80" s="312"/>
      <c r="O80" s="312"/>
      <c r="P80" s="312"/>
      <c r="Q80" s="312"/>
      <c r="R80" s="312"/>
      <c r="S80" s="312"/>
      <c r="T80" s="312"/>
      <c r="U80" s="312"/>
      <c r="V80" s="312"/>
      <c r="W80" s="312"/>
      <c r="X80" s="312"/>
      <c r="Y80" s="312"/>
    </row>
    <row r="81" ht="18.75" spans="1:25">
      <c r="A81" s="312"/>
      <c r="B81" s="312"/>
      <c r="C81" s="312"/>
      <c r="D81" s="312"/>
      <c r="E81" s="312"/>
      <c r="F81" s="312"/>
      <c r="G81" s="312"/>
      <c r="H81" s="312"/>
      <c r="I81" s="312"/>
      <c r="J81" s="312"/>
      <c r="K81" s="312"/>
      <c r="L81" s="312"/>
      <c r="M81" s="312"/>
      <c r="N81" s="312"/>
      <c r="O81" s="312"/>
      <c r="P81" s="312"/>
      <c r="Q81" s="312"/>
      <c r="R81" s="312"/>
      <c r="S81" s="312"/>
      <c r="T81" s="312"/>
      <c r="U81" s="312"/>
      <c r="V81" s="312"/>
      <c r="W81" s="312"/>
      <c r="X81" s="312"/>
      <c r="Y81" s="312"/>
    </row>
    <row r="82" ht="18.75" spans="1:25">
      <c r="A82" s="312"/>
      <c r="B82" s="312"/>
      <c r="C82" s="312"/>
      <c r="D82" s="312"/>
      <c r="E82" s="312"/>
      <c r="F82" s="312"/>
      <c r="G82" s="312"/>
      <c r="H82" s="312"/>
      <c r="I82" s="312"/>
      <c r="J82" s="312"/>
      <c r="K82" s="312"/>
      <c r="L82" s="312"/>
      <c r="M82" s="312"/>
      <c r="N82" s="312"/>
      <c r="O82" s="312"/>
      <c r="P82" s="312"/>
      <c r="Q82" s="312"/>
      <c r="R82" s="312"/>
      <c r="S82" s="312"/>
      <c r="T82" s="312"/>
      <c r="U82" s="312"/>
      <c r="V82" s="312"/>
      <c r="W82" s="312"/>
      <c r="X82" s="312"/>
      <c r="Y82" s="312"/>
    </row>
    <row r="83" ht="18.75" spans="1:25">
      <c r="A83" s="312"/>
      <c r="B83" s="312"/>
      <c r="C83" s="312"/>
      <c r="D83" s="312"/>
      <c r="E83" s="312"/>
      <c r="F83" s="312"/>
      <c r="G83" s="312"/>
      <c r="H83" s="312"/>
      <c r="I83" s="312"/>
      <c r="J83" s="312"/>
      <c r="K83" s="312"/>
      <c r="L83" s="312"/>
      <c r="M83" s="312"/>
      <c r="N83" s="312"/>
      <c r="O83" s="312"/>
      <c r="P83" s="312"/>
      <c r="Q83" s="312"/>
      <c r="R83" s="312"/>
      <c r="S83" s="312"/>
      <c r="T83" s="312"/>
      <c r="U83" s="312"/>
      <c r="V83" s="312"/>
      <c r="W83" s="312"/>
      <c r="X83" s="312"/>
      <c r="Y83" s="312"/>
    </row>
    <row r="84" ht="18.75" spans="1:25">
      <c r="A84" s="312"/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</row>
    <row r="85" ht="18.75" spans="1:25">
      <c r="A85" s="312"/>
      <c r="B85" s="312"/>
      <c r="C85" s="312"/>
      <c r="D85" s="312"/>
      <c r="E85" s="312"/>
      <c r="F85" s="312"/>
      <c r="G85" s="312"/>
      <c r="H85" s="312"/>
      <c r="I85" s="312"/>
      <c r="J85" s="312"/>
      <c r="K85" s="312"/>
      <c r="L85" s="312"/>
      <c r="M85" s="312"/>
      <c r="N85" s="312"/>
      <c r="O85" s="312"/>
      <c r="P85" s="312"/>
      <c r="Q85" s="312"/>
      <c r="R85" s="312"/>
      <c r="S85" s="312"/>
      <c r="T85" s="312"/>
      <c r="U85" s="312"/>
      <c r="V85" s="312"/>
      <c r="W85" s="312"/>
      <c r="X85" s="312"/>
      <c r="Y85" s="312"/>
    </row>
    <row r="86" ht="18.75" spans="1:25">
      <c r="A86" s="312"/>
      <c r="B86" s="312"/>
      <c r="C86" s="312"/>
      <c r="D86" s="312"/>
      <c r="E86" s="312"/>
      <c r="F86" s="312"/>
      <c r="G86" s="312"/>
      <c r="H86" s="312"/>
      <c r="I86" s="312"/>
      <c r="J86" s="312"/>
      <c r="K86" s="312"/>
      <c r="L86" s="312"/>
      <c r="M86" s="312"/>
      <c r="N86" s="312"/>
      <c r="O86" s="312"/>
      <c r="P86" s="312"/>
      <c r="Q86" s="312"/>
      <c r="R86" s="312"/>
      <c r="S86" s="312"/>
      <c r="T86" s="312"/>
      <c r="U86" s="312"/>
      <c r="V86" s="312"/>
      <c r="W86" s="312"/>
      <c r="X86" s="312"/>
      <c r="Y86" s="312"/>
    </row>
    <row r="87" ht="18.75" spans="1:25">
      <c r="A87" s="312"/>
      <c r="B87" s="312"/>
      <c r="C87" s="312"/>
      <c r="D87" s="312"/>
      <c r="E87" s="312"/>
      <c r="F87" s="312"/>
      <c r="G87" s="312"/>
      <c r="H87" s="312"/>
      <c r="I87" s="312"/>
      <c r="J87" s="312"/>
      <c r="K87" s="312"/>
      <c r="L87" s="312"/>
      <c r="M87" s="312"/>
      <c r="N87" s="312"/>
      <c r="O87" s="312"/>
      <c r="P87" s="312"/>
      <c r="Q87" s="312"/>
      <c r="R87" s="312"/>
      <c r="S87" s="312"/>
      <c r="T87" s="312"/>
      <c r="U87" s="312"/>
      <c r="V87" s="312"/>
      <c r="W87" s="312"/>
      <c r="X87" s="312"/>
      <c r="Y87" s="312"/>
    </row>
    <row r="88" ht="18.75" spans="1:25">
      <c r="A88" s="312"/>
      <c r="B88" s="312"/>
      <c r="C88" s="312"/>
      <c r="D88" s="312"/>
      <c r="E88" s="312"/>
      <c r="F88" s="312"/>
      <c r="G88" s="312"/>
      <c r="H88" s="312"/>
      <c r="I88" s="312"/>
      <c r="J88" s="312"/>
      <c r="K88" s="312"/>
      <c r="L88" s="312"/>
      <c r="M88" s="312"/>
      <c r="N88" s="312"/>
      <c r="O88" s="312"/>
      <c r="P88" s="312"/>
      <c r="Q88" s="312"/>
      <c r="R88" s="312"/>
      <c r="S88" s="312"/>
      <c r="T88" s="312"/>
      <c r="U88" s="312"/>
      <c r="V88" s="312"/>
      <c r="W88" s="312"/>
      <c r="X88" s="312"/>
      <c r="Y88" s="312"/>
    </row>
    <row r="89" ht="18.75" spans="1:25">
      <c r="A89" s="312"/>
      <c r="B89" s="312"/>
      <c r="C89" s="312"/>
      <c r="D89" s="312"/>
      <c r="E89" s="312"/>
      <c r="F89" s="312"/>
      <c r="G89" s="312"/>
      <c r="H89" s="312"/>
      <c r="I89" s="312"/>
      <c r="J89" s="312"/>
      <c r="K89" s="312"/>
      <c r="L89" s="312"/>
      <c r="M89" s="312"/>
      <c r="N89" s="312"/>
      <c r="O89" s="312"/>
      <c r="P89" s="312"/>
      <c r="Q89" s="312"/>
      <c r="R89" s="312"/>
      <c r="S89" s="312"/>
      <c r="T89" s="312"/>
      <c r="U89" s="312"/>
      <c r="V89" s="312"/>
      <c r="W89" s="312"/>
      <c r="X89" s="312"/>
      <c r="Y89" s="312"/>
    </row>
    <row r="90" ht="18.75" spans="1:25">
      <c r="A90" s="312"/>
      <c r="B90" s="312"/>
      <c r="C90" s="312"/>
      <c r="D90" s="312"/>
      <c r="E90" s="312"/>
      <c r="F90" s="312"/>
      <c r="G90" s="312"/>
      <c r="H90" s="312"/>
      <c r="I90" s="312"/>
      <c r="J90" s="312"/>
      <c r="K90" s="312"/>
      <c r="L90" s="312"/>
      <c r="M90" s="312"/>
      <c r="N90" s="312"/>
      <c r="O90" s="312"/>
      <c r="P90" s="312"/>
      <c r="Q90" s="312"/>
      <c r="R90" s="312"/>
      <c r="S90" s="312"/>
      <c r="T90" s="312"/>
      <c r="U90" s="312"/>
      <c r="V90" s="312"/>
      <c r="W90" s="312"/>
      <c r="X90" s="312"/>
      <c r="Y90" s="312"/>
    </row>
    <row r="91" ht="18.75" spans="1:25">
      <c r="A91" s="312"/>
      <c r="B91" s="312"/>
      <c r="C91" s="312"/>
      <c r="D91" s="312"/>
      <c r="E91" s="312"/>
      <c r="F91" s="312"/>
      <c r="G91" s="312"/>
      <c r="H91" s="312"/>
      <c r="I91" s="312"/>
      <c r="J91" s="312"/>
      <c r="K91" s="312"/>
      <c r="L91" s="312"/>
      <c r="M91" s="312"/>
      <c r="N91" s="312"/>
      <c r="O91" s="312"/>
      <c r="P91" s="312"/>
      <c r="Q91" s="312"/>
      <c r="R91" s="312"/>
      <c r="S91" s="312"/>
      <c r="T91" s="312"/>
      <c r="U91" s="312"/>
      <c r="V91" s="312"/>
      <c r="W91" s="312"/>
      <c r="X91" s="312"/>
      <c r="Y91" s="312"/>
    </row>
    <row r="92" ht="18.75" spans="1:25">
      <c r="A92" s="312"/>
      <c r="B92" s="312"/>
      <c r="C92" s="312"/>
      <c r="D92" s="312"/>
      <c r="E92" s="312"/>
      <c r="F92" s="312"/>
      <c r="G92" s="312"/>
      <c r="H92" s="312"/>
      <c r="I92" s="312"/>
      <c r="J92" s="312"/>
      <c r="K92" s="312"/>
      <c r="L92" s="312"/>
      <c r="M92" s="312"/>
      <c r="N92" s="312"/>
      <c r="O92" s="312"/>
      <c r="P92" s="312"/>
      <c r="Q92" s="312"/>
      <c r="R92" s="312"/>
      <c r="S92" s="312"/>
      <c r="T92" s="312"/>
      <c r="U92" s="312"/>
      <c r="V92" s="312"/>
      <c r="W92" s="312"/>
      <c r="X92" s="312"/>
      <c r="Y92" s="312"/>
    </row>
    <row r="93" ht="18.75" spans="1:25">
      <c r="A93" s="312"/>
      <c r="B93" s="312"/>
      <c r="C93" s="312"/>
      <c r="D93" s="312"/>
      <c r="E93" s="312"/>
      <c r="F93" s="312"/>
      <c r="G93" s="312"/>
      <c r="H93" s="312"/>
      <c r="I93" s="312"/>
      <c r="J93" s="312"/>
      <c r="K93" s="312"/>
      <c r="L93" s="312"/>
      <c r="M93" s="312"/>
      <c r="N93" s="312"/>
      <c r="O93" s="312"/>
      <c r="P93" s="312"/>
      <c r="Q93" s="312"/>
      <c r="R93" s="312"/>
      <c r="S93" s="312"/>
      <c r="T93" s="312"/>
      <c r="U93" s="312"/>
      <c r="V93" s="312"/>
      <c r="W93" s="312"/>
      <c r="X93" s="312"/>
      <c r="Y93" s="312"/>
    </row>
    <row r="94" ht="18.75" spans="1:25">
      <c r="A94" s="312"/>
      <c r="B94" s="312"/>
      <c r="C94" s="312"/>
      <c r="D94" s="312"/>
      <c r="E94" s="312"/>
      <c r="F94" s="312"/>
      <c r="G94" s="312"/>
      <c r="H94" s="312"/>
      <c r="I94" s="312"/>
      <c r="J94" s="312"/>
      <c r="K94" s="312"/>
      <c r="L94" s="312"/>
      <c r="M94" s="312"/>
      <c r="N94" s="312"/>
      <c r="O94" s="312"/>
      <c r="P94" s="312"/>
      <c r="Q94" s="312"/>
      <c r="R94" s="312"/>
      <c r="S94" s="312"/>
      <c r="T94" s="312"/>
      <c r="U94" s="312"/>
      <c r="V94" s="312"/>
      <c r="W94" s="312"/>
      <c r="X94" s="312"/>
      <c r="Y94" s="312"/>
    </row>
    <row r="95" ht="18.75" spans="1:25">
      <c r="A95" s="312"/>
      <c r="B95" s="312"/>
      <c r="C95" s="312"/>
      <c r="D95" s="312"/>
      <c r="E95" s="312"/>
      <c r="F95" s="312"/>
      <c r="G95" s="312"/>
      <c r="H95" s="312"/>
      <c r="I95" s="312"/>
      <c r="J95" s="312"/>
      <c r="K95" s="312"/>
      <c r="L95" s="312"/>
      <c r="M95" s="312"/>
      <c r="N95" s="312"/>
      <c r="O95" s="312"/>
      <c r="P95" s="312"/>
      <c r="Q95" s="312"/>
      <c r="R95" s="312"/>
      <c r="S95" s="312"/>
      <c r="T95" s="312"/>
      <c r="U95" s="312"/>
      <c r="V95" s="312"/>
      <c r="W95" s="312"/>
      <c r="X95" s="312"/>
      <c r="Y95" s="312"/>
    </row>
    <row r="96" ht="18.75" spans="1:25">
      <c r="A96" s="312"/>
      <c r="B96" s="312"/>
      <c r="C96" s="312"/>
      <c r="D96" s="312"/>
      <c r="E96" s="312"/>
      <c r="F96" s="312"/>
      <c r="G96" s="312"/>
      <c r="H96" s="312"/>
      <c r="I96" s="312"/>
      <c r="J96" s="312"/>
      <c r="K96" s="312"/>
      <c r="L96" s="312"/>
      <c r="M96" s="312"/>
      <c r="N96" s="312"/>
      <c r="O96" s="312"/>
      <c r="P96" s="312"/>
      <c r="Q96" s="312"/>
      <c r="R96" s="312"/>
      <c r="S96" s="312"/>
      <c r="T96" s="312"/>
      <c r="U96" s="312"/>
      <c r="V96" s="312"/>
      <c r="W96" s="312"/>
      <c r="X96" s="312"/>
      <c r="Y96" s="312"/>
    </row>
    <row r="97" ht="18.75" spans="1:25">
      <c r="A97" s="312"/>
      <c r="B97" s="312"/>
      <c r="C97" s="312"/>
      <c r="D97" s="312"/>
      <c r="E97" s="312"/>
      <c r="F97" s="312"/>
      <c r="G97" s="312"/>
      <c r="H97" s="312"/>
      <c r="I97" s="312"/>
      <c r="J97" s="312"/>
      <c r="K97" s="312"/>
      <c r="L97" s="312"/>
      <c r="M97" s="312"/>
      <c r="N97" s="312"/>
      <c r="O97" s="312"/>
      <c r="P97" s="312"/>
      <c r="Q97" s="312"/>
      <c r="R97" s="312"/>
      <c r="S97" s="312"/>
      <c r="T97" s="312"/>
      <c r="U97" s="312"/>
      <c r="V97" s="312"/>
      <c r="W97" s="312"/>
      <c r="X97" s="312"/>
      <c r="Y97" s="312"/>
    </row>
    <row r="98" ht="18.75" spans="1:25">
      <c r="A98" s="312"/>
      <c r="B98" s="312"/>
      <c r="C98" s="312"/>
      <c r="D98" s="312"/>
      <c r="E98" s="312"/>
      <c r="F98" s="312"/>
      <c r="G98" s="312"/>
      <c r="H98" s="312"/>
      <c r="I98" s="312"/>
      <c r="J98" s="312"/>
      <c r="K98" s="312"/>
      <c r="L98" s="312"/>
      <c r="M98" s="312"/>
      <c r="N98" s="312"/>
      <c r="O98" s="312"/>
      <c r="P98" s="312"/>
      <c r="Q98" s="312"/>
      <c r="R98" s="312"/>
      <c r="S98" s="312"/>
      <c r="T98" s="312"/>
      <c r="U98" s="312"/>
      <c r="V98" s="312"/>
      <c r="W98" s="312"/>
      <c r="X98" s="312"/>
      <c r="Y98" s="312"/>
    </row>
    <row r="99" ht="18.75" spans="1:25">
      <c r="A99" s="312"/>
      <c r="B99" s="312"/>
      <c r="C99" s="312"/>
      <c r="D99" s="312"/>
      <c r="E99" s="312"/>
      <c r="F99" s="312"/>
      <c r="G99" s="312"/>
      <c r="H99" s="312"/>
      <c r="I99" s="312"/>
      <c r="J99" s="312"/>
      <c r="K99" s="312"/>
      <c r="L99" s="312"/>
      <c r="M99" s="312"/>
      <c r="N99" s="312"/>
      <c r="O99" s="312"/>
      <c r="P99" s="312"/>
      <c r="Q99" s="312"/>
      <c r="R99" s="312"/>
      <c r="S99" s="312"/>
      <c r="T99" s="312"/>
      <c r="U99" s="312"/>
      <c r="V99" s="312"/>
      <c r="W99" s="312"/>
      <c r="X99" s="312"/>
      <c r="Y99" s="312"/>
    </row>
    <row r="100" ht="18.75" spans="1:25">
      <c r="A100" s="312"/>
      <c r="B100" s="312"/>
      <c r="C100" s="312"/>
      <c r="D100" s="312"/>
      <c r="E100" s="312"/>
      <c r="F100" s="312"/>
      <c r="G100" s="312"/>
      <c r="H100" s="312"/>
      <c r="I100" s="312"/>
      <c r="J100" s="312"/>
      <c r="K100" s="312"/>
      <c r="L100" s="312"/>
      <c r="M100" s="312"/>
      <c r="N100" s="312"/>
      <c r="O100" s="312"/>
      <c r="P100" s="312"/>
      <c r="Q100" s="312"/>
      <c r="R100" s="312"/>
      <c r="S100" s="312"/>
      <c r="T100" s="312"/>
      <c r="U100" s="312"/>
      <c r="V100" s="312"/>
      <c r="W100" s="312"/>
      <c r="X100" s="312"/>
      <c r="Y100" s="312"/>
    </row>
    <row r="101" ht="18.75" spans="1:25">
      <c r="A101" s="312"/>
      <c r="B101" s="312"/>
      <c r="C101" s="312"/>
      <c r="D101" s="312"/>
      <c r="E101" s="312"/>
      <c r="F101" s="312"/>
      <c r="G101" s="312"/>
      <c r="H101" s="312"/>
      <c r="I101" s="312"/>
      <c r="J101" s="312"/>
      <c r="K101" s="312"/>
      <c r="L101" s="312"/>
      <c r="M101" s="312"/>
      <c r="N101" s="312"/>
      <c r="O101" s="312"/>
      <c r="P101" s="312"/>
      <c r="Q101" s="312"/>
      <c r="R101" s="312"/>
      <c r="S101" s="312"/>
      <c r="T101" s="312"/>
      <c r="U101" s="312"/>
      <c r="V101" s="312"/>
      <c r="W101" s="312"/>
      <c r="X101" s="312"/>
      <c r="Y101" s="312"/>
    </row>
    <row r="102" ht="18.75" spans="1:25">
      <c r="A102" s="312"/>
      <c r="B102" s="312"/>
      <c r="C102" s="312"/>
      <c r="D102" s="312"/>
      <c r="E102" s="312"/>
      <c r="F102" s="312"/>
      <c r="G102" s="312"/>
      <c r="H102" s="312"/>
      <c r="I102" s="312"/>
      <c r="J102" s="312"/>
      <c r="K102" s="312"/>
      <c r="L102" s="312"/>
      <c r="M102" s="312"/>
      <c r="N102" s="312"/>
      <c r="O102" s="312"/>
      <c r="P102" s="312"/>
      <c r="Q102" s="312"/>
      <c r="R102" s="312"/>
      <c r="S102" s="312"/>
      <c r="T102" s="312"/>
      <c r="U102" s="312"/>
      <c r="V102" s="312"/>
      <c r="W102" s="312"/>
      <c r="X102" s="312"/>
      <c r="Y102" s="312"/>
    </row>
    <row r="103" ht="18.75" spans="1:25">
      <c r="A103" s="312"/>
      <c r="B103" s="312"/>
      <c r="C103" s="312"/>
      <c r="D103" s="312"/>
      <c r="E103" s="312"/>
      <c r="F103" s="312"/>
      <c r="G103" s="312"/>
      <c r="H103" s="312"/>
      <c r="I103" s="312"/>
      <c r="J103" s="312"/>
      <c r="K103" s="312"/>
      <c r="L103" s="312"/>
      <c r="M103" s="312"/>
      <c r="N103" s="312"/>
      <c r="O103" s="312"/>
      <c r="P103" s="312"/>
      <c r="Q103" s="312"/>
      <c r="R103" s="312"/>
      <c r="S103" s="312"/>
      <c r="T103" s="312"/>
      <c r="U103" s="312"/>
      <c r="V103" s="312"/>
      <c r="W103" s="312"/>
      <c r="X103" s="312"/>
      <c r="Y103" s="312"/>
    </row>
    <row r="104" ht="18.75" spans="1:25">
      <c r="A104" s="312"/>
      <c r="B104" s="312"/>
      <c r="C104" s="312"/>
      <c r="D104" s="312"/>
      <c r="E104" s="312"/>
      <c r="F104" s="312"/>
      <c r="G104" s="312"/>
      <c r="H104" s="312"/>
      <c r="I104" s="312"/>
      <c r="J104" s="312"/>
      <c r="K104" s="312"/>
      <c r="L104" s="312"/>
      <c r="M104" s="312"/>
      <c r="N104" s="312"/>
      <c r="O104" s="312"/>
      <c r="P104" s="312"/>
      <c r="Q104" s="312"/>
      <c r="R104" s="312"/>
      <c r="S104" s="312"/>
      <c r="T104" s="312"/>
      <c r="U104" s="312"/>
      <c r="V104" s="312"/>
      <c r="W104" s="312"/>
      <c r="X104" s="312"/>
      <c r="Y104" s="312"/>
    </row>
    <row r="105" ht="18.75" spans="1:25">
      <c r="A105" s="312"/>
      <c r="B105" s="312"/>
      <c r="C105" s="312"/>
      <c r="D105" s="312"/>
      <c r="E105" s="312"/>
      <c r="F105" s="312"/>
      <c r="G105" s="312"/>
      <c r="H105" s="312"/>
      <c r="I105" s="312"/>
      <c r="J105" s="312"/>
      <c r="K105" s="312"/>
      <c r="L105" s="312"/>
      <c r="M105" s="312"/>
      <c r="N105" s="312"/>
      <c r="O105" s="312"/>
      <c r="P105" s="312"/>
      <c r="Q105" s="312"/>
      <c r="R105" s="312"/>
      <c r="S105" s="312"/>
      <c r="T105" s="312"/>
      <c r="U105" s="312"/>
      <c r="V105" s="312"/>
      <c r="W105" s="312"/>
      <c r="X105" s="312"/>
      <c r="Y105" s="312"/>
    </row>
    <row r="106" ht="18.75" spans="1:25">
      <c r="A106" s="312"/>
      <c r="B106" s="312"/>
      <c r="C106" s="312"/>
      <c r="D106" s="312"/>
      <c r="E106" s="312"/>
      <c r="F106" s="312"/>
      <c r="G106" s="312"/>
      <c r="H106" s="312"/>
      <c r="I106" s="312"/>
      <c r="J106" s="312"/>
      <c r="K106" s="312"/>
      <c r="L106" s="312"/>
      <c r="M106" s="312"/>
      <c r="N106" s="312"/>
      <c r="O106" s="312"/>
      <c r="P106" s="312"/>
      <c r="Q106" s="312"/>
      <c r="R106" s="312"/>
      <c r="S106" s="312"/>
      <c r="T106" s="312"/>
      <c r="U106" s="312"/>
      <c r="V106" s="312"/>
      <c r="W106" s="312"/>
      <c r="X106" s="312"/>
      <c r="Y106" s="312"/>
    </row>
    <row r="107" ht="18.75" spans="1:25">
      <c r="A107" s="312"/>
      <c r="B107" s="312"/>
      <c r="C107" s="312"/>
      <c r="D107" s="312"/>
      <c r="E107" s="312"/>
      <c r="F107" s="312"/>
      <c r="G107" s="312"/>
      <c r="H107" s="312"/>
      <c r="I107" s="312"/>
      <c r="J107" s="312"/>
      <c r="K107" s="312"/>
      <c r="L107" s="312"/>
      <c r="M107" s="312"/>
      <c r="N107" s="312"/>
      <c r="O107" s="312"/>
      <c r="P107" s="312"/>
      <c r="Q107" s="312"/>
      <c r="R107" s="312"/>
      <c r="S107" s="312"/>
      <c r="T107" s="312"/>
      <c r="U107" s="312"/>
      <c r="V107" s="312"/>
      <c r="W107" s="312"/>
      <c r="X107" s="312"/>
      <c r="Y107" s="312"/>
    </row>
    <row r="108" ht="18.75" spans="1:25">
      <c r="A108" s="312"/>
      <c r="B108" s="312"/>
      <c r="C108" s="312"/>
      <c r="D108" s="312"/>
      <c r="E108" s="312"/>
      <c r="F108" s="312"/>
      <c r="G108" s="312"/>
      <c r="H108" s="312"/>
      <c r="I108" s="312"/>
      <c r="J108" s="312"/>
      <c r="K108" s="312"/>
      <c r="L108" s="312"/>
      <c r="M108" s="312"/>
      <c r="N108" s="312"/>
      <c r="O108" s="312"/>
      <c r="P108" s="312"/>
      <c r="Q108" s="312"/>
      <c r="R108" s="312"/>
      <c r="S108" s="312"/>
      <c r="T108" s="312"/>
      <c r="U108" s="312"/>
      <c r="V108" s="312"/>
      <c r="W108" s="312"/>
      <c r="X108" s="312"/>
      <c r="Y108" s="312"/>
    </row>
    <row r="109" ht="18.75" spans="1:25">
      <c r="A109" s="312"/>
      <c r="B109" s="312"/>
      <c r="C109" s="312"/>
      <c r="D109" s="312"/>
      <c r="E109" s="312"/>
      <c r="F109" s="312"/>
      <c r="G109" s="312"/>
      <c r="H109" s="312"/>
      <c r="I109" s="312"/>
      <c r="J109" s="312"/>
      <c r="K109" s="312"/>
      <c r="L109" s="312"/>
      <c r="M109" s="312"/>
      <c r="N109" s="312"/>
      <c r="O109" s="312"/>
      <c r="P109" s="312"/>
      <c r="Q109" s="312"/>
      <c r="R109" s="312"/>
      <c r="S109" s="312"/>
      <c r="T109" s="312"/>
      <c r="U109" s="312"/>
      <c r="V109" s="312"/>
      <c r="W109" s="312"/>
      <c r="X109" s="312"/>
      <c r="Y109" s="312"/>
    </row>
    <row r="110" ht="18.75" spans="1:25">
      <c r="A110" s="312"/>
      <c r="B110" s="312"/>
      <c r="C110" s="312"/>
      <c r="D110" s="312"/>
      <c r="E110" s="312"/>
      <c r="F110" s="312"/>
      <c r="G110" s="312"/>
      <c r="H110" s="312"/>
      <c r="I110" s="312"/>
      <c r="J110" s="312"/>
      <c r="K110" s="312"/>
      <c r="L110" s="312"/>
      <c r="M110" s="312"/>
      <c r="N110" s="312"/>
      <c r="O110" s="312"/>
      <c r="P110" s="312"/>
      <c r="Q110" s="312"/>
      <c r="R110" s="312"/>
      <c r="S110" s="312"/>
      <c r="T110" s="312"/>
      <c r="U110" s="312"/>
      <c r="V110" s="312"/>
      <c r="W110" s="312"/>
      <c r="X110" s="312"/>
      <c r="Y110" s="312"/>
    </row>
    <row r="111" ht="18.75" spans="1:25">
      <c r="A111" s="312"/>
      <c r="B111" s="312"/>
      <c r="C111" s="312"/>
      <c r="D111" s="312"/>
      <c r="E111" s="312"/>
      <c r="F111" s="312"/>
      <c r="G111" s="312"/>
      <c r="H111" s="312"/>
      <c r="I111" s="312"/>
      <c r="J111" s="312"/>
      <c r="K111" s="312"/>
      <c r="L111" s="312"/>
      <c r="M111" s="312"/>
      <c r="N111" s="312"/>
      <c r="O111" s="312"/>
      <c r="P111" s="312"/>
      <c r="Q111" s="312"/>
      <c r="R111" s="312"/>
      <c r="S111" s="312"/>
      <c r="T111" s="312"/>
      <c r="U111" s="312"/>
      <c r="V111" s="312"/>
      <c r="W111" s="312"/>
      <c r="X111" s="312"/>
      <c r="Y111" s="312"/>
    </row>
    <row r="112" ht="18.75" spans="1:25">
      <c r="A112" s="312"/>
      <c r="B112" s="312"/>
      <c r="C112" s="312"/>
      <c r="D112" s="312"/>
      <c r="E112" s="312"/>
      <c r="F112" s="312"/>
      <c r="G112" s="312"/>
      <c r="H112" s="312"/>
      <c r="I112" s="312"/>
      <c r="J112" s="312"/>
      <c r="K112" s="312"/>
      <c r="L112" s="312"/>
      <c r="M112" s="312"/>
      <c r="N112" s="312"/>
      <c r="O112" s="312"/>
      <c r="P112" s="312"/>
      <c r="Q112" s="312"/>
      <c r="R112" s="312"/>
      <c r="S112" s="312"/>
      <c r="T112" s="312"/>
      <c r="U112" s="312"/>
      <c r="V112" s="312"/>
      <c r="W112" s="312"/>
      <c r="X112" s="312"/>
      <c r="Y112" s="312"/>
    </row>
    <row r="113" ht="18.75" spans="1:25">
      <c r="A113" s="312"/>
      <c r="B113" s="312"/>
      <c r="C113" s="312"/>
      <c r="D113" s="312"/>
      <c r="E113" s="312"/>
      <c r="F113" s="312"/>
      <c r="G113" s="312"/>
      <c r="H113" s="312"/>
      <c r="I113" s="312"/>
      <c r="J113" s="312"/>
      <c r="K113" s="312"/>
      <c r="L113" s="312"/>
      <c r="M113" s="312"/>
      <c r="N113" s="312"/>
      <c r="O113" s="312"/>
      <c r="P113" s="312"/>
      <c r="Q113" s="312"/>
      <c r="R113" s="312"/>
      <c r="S113" s="312"/>
      <c r="T113" s="312"/>
      <c r="U113" s="312"/>
      <c r="V113" s="312"/>
      <c r="W113" s="312"/>
      <c r="X113" s="312"/>
      <c r="Y113" s="312"/>
    </row>
    <row r="114" ht="18.75" spans="1:25">
      <c r="A114" s="312"/>
      <c r="B114" s="312"/>
      <c r="C114" s="312"/>
      <c r="D114" s="312"/>
      <c r="E114" s="312"/>
      <c r="F114" s="312"/>
      <c r="G114" s="312"/>
      <c r="H114" s="312"/>
      <c r="I114" s="312"/>
      <c r="J114" s="312"/>
      <c r="K114" s="312"/>
      <c r="L114" s="312"/>
      <c r="M114" s="312"/>
      <c r="N114" s="312"/>
      <c r="O114" s="312"/>
      <c r="P114" s="312"/>
      <c r="Q114" s="312"/>
      <c r="R114" s="312"/>
      <c r="S114" s="312"/>
      <c r="T114" s="312"/>
      <c r="U114" s="312"/>
      <c r="V114" s="312"/>
      <c r="W114" s="312"/>
      <c r="X114" s="312"/>
      <c r="Y114" s="312"/>
    </row>
    <row r="115" ht="18.75" spans="1:25">
      <c r="A115" s="312"/>
      <c r="B115" s="312"/>
      <c r="C115" s="312"/>
      <c r="D115" s="312"/>
      <c r="E115" s="312"/>
      <c r="F115" s="312"/>
      <c r="G115" s="312"/>
      <c r="H115" s="312"/>
      <c r="I115" s="312"/>
      <c r="J115" s="312"/>
      <c r="K115" s="312"/>
      <c r="L115" s="312"/>
      <c r="M115" s="312"/>
      <c r="N115" s="312"/>
      <c r="O115" s="312"/>
      <c r="P115" s="312"/>
      <c r="Q115" s="312"/>
      <c r="R115" s="312"/>
      <c r="S115" s="312"/>
      <c r="T115" s="312"/>
      <c r="U115" s="312"/>
      <c r="V115" s="312"/>
      <c r="W115" s="312"/>
      <c r="X115" s="312"/>
      <c r="Y115" s="312"/>
    </row>
    <row r="116" ht="18.75" spans="1:25">
      <c r="A116" s="312"/>
      <c r="B116" s="312"/>
      <c r="C116" s="312"/>
      <c r="D116" s="312"/>
      <c r="E116" s="312"/>
      <c r="F116" s="312"/>
      <c r="G116" s="312"/>
      <c r="H116" s="312"/>
      <c r="I116" s="312"/>
      <c r="J116" s="312"/>
      <c r="K116" s="312"/>
      <c r="L116" s="312"/>
      <c r="M116" s="312"/>
      <c r="N116" s="312"/>
      <c r="O116" s="312"/>
      <c r="P116" s="312"/>
      <c r="Q116" s="312"/>
      <c r="R116" s="312"/>
      <c r="S116" s="312"/>
      <c r="T116" s="312"/>
      <c r="U116" s="312"/>
      <c r="V116" s="312"/>
      <c r="W116" s="312"/>
      <c r="X116" s="312"/>
      <c r="Y116" s="312"/>
    </row>
    <row r="117" ht="18.75" spans="1:25">
      <c r="A117" s="312"/>
      <c r="B117" s="312"/>
      <c r="C117" s="312"/>
      <c r="D117" s="312"/>
      <c r="E117" s="312"/>
      <c r="F117" s="312"/>
      <c r="G117" s="312"/>
      <c r="H117" s="312"/>
      <c r="I117" s="312"/>
      <c r="J117" s="312"/>
      <c r="K117" s="312"/>
      <c r="L117" s="312"/>
      <c r="M117" s="312"/>
      <c r="N117" s="312"/>
      <c r="O117" s="312"/>
      <c r="P117" s="312"/>
      <c r="Q117" s="312"/>
      <c r="R117" s="312"/>
      <c r="S117" s="312"/>
      <c r="T117" s="312"/>
      <c r="U117" s="312"/>
      <c r="V117" s="312"/>
      <c r="W117" s="312"/>
      <c r="X117" s="312"/>
      <c r="Y117" s="312"/>
    </row>
    <row r="118" ht="18.75" spans="1:25">
      <c r="A118" s="312"/>
      <c r="B118" s="312"/>
      <c r="C118" s="312"/>
      <c r="D118" s="312"/>
      <c r="E118" s="312"/>
      <c r="F118" s="312"/>
      <c r="G118" s="312"/>
      <c r="H118" s="312"/>
      <c r="I118" s="312"/>
      <c r="J118" s="312"/>
      <c r="K118" s="312"/>
      <c r="L118" s="312"/>
      <c r="M118" s="312"/>
      <c r="N118" s="312"/>
      <c r="O118" s="312"/>
      <c r="P118" s="312"/>
      <c r="Q118" s="312"/>
      <c r="R118" s="312"/>
      <c r="S118" s="312"/>
      <c r="T118" s="312"/>
      <c r="U118" s="312"/>
      <c r="V118" s="312"/>
      <c r="W118" s="312"/>
      <c r="X118" s="312"/>
      <c r="Y118" s="312"/>
    </row>
    <row r="119" ht="18.75" spans="1:25">
      <c r="A119" s="312"/>
      <c r="B119" s="312"/>
      <c r="C119" s="312"/>
      <c r="D119" s="312"/>
      <c r="E119" s="312"/>
      <c r="F119" s="312"/>
      <c r="G119" s="312"/>
      <c r="H119" s="312"/>
      <c r="I119" s="312"/>
      <c r="J119" s="312"/>
      <c r="K119" s="312"/>
      <c r="L119" s="312"/>
      <c r="M119" s="312"/>
      <c r="N119" s="312"/>
      <c r="O119" s="312"/>
      <c r="P119" s="312"/>
      <c r="Q119" s="312"/>
      <c r="R119" s="312"/>
      <c r="S119" s="312"/>
      <c r="T119" s="312"/>
      <c r="U119" s="312"/>
      <c r="V119" s="312"/>
      <c r="W119" s="312"/>
      <c r="X119" s="312"/>
      <c r="Y119" s="312"/>
    </row>
    <row r="120" ht="18.75" spans="1:25">
      <c r="A120" s="312"/>
      <c r="B120" s="312"/>
      <c r="C120" s="312"/>
      <c r="D120" s="312"/>
      <c r="E120" s="312"/>
      <c r="F120" s="312"/>
      <c r="G120" s="312"/>
      <c r="H120" s="312"/>
      <c r="I120" s="312"/>
      <c r="J120" s="312"/>
      <c r="K120" s="312"/>
      <c r="L120" s="312"/>
      <c r="M120" s="312"/>
      <c r="N120" s="312"/>
      <c r="O120" s="312"/>
      <c r="P120" s="312"/>
      <c r="Q120" s="312"/>
      <c r="R120" s="312"/>
      <c r="S120" s="312"/>
      <c r="T120" s="312"/>
      <c r="U120" s="312"/>
      <c r="V120" s="312"/>
      <c r="W120" s="312"/>
      <c r="X120" s="312"/>
      <c r="Y120" s="312"/>
    </row>
    <row r="121" ht="18.75" spans="1:25">
      <c r="A121" s="312"/>
      <c r="B121" s="312"/>
      <c r="C121" s="312"/>
      <c r="D121" s="312"/>
      <c r="E121" s="312"/>
      <c r="F121" s="312"/>
      <c r="G121" s="312"/>
      <c r="H121" s="312"/>
      <c r="I121" s="312"/>
      <c r="J121" s="312"/>
      <c r="K121" s="312"/>
      <c r="L121" s="312"/>
      <c r="M121" s="312"/>
      <c r="N121" s="312"/>
      <c r="O121" s="312"/>
      <c r="P121" s="312"/>
      <c r="Q121" s="312"/>
      <c r="R121" s="312"/>
      <c r="S121" s="312"/>
      <c r="T121" s="312"/>
      <c r="U121" s="312"/>
      <c r="V121" s="312"/>
      <c r="W121" s="312"/>
      <c r="X121" s="312"/>
      <c r="Y121" s="312"/>
    </row>
    <row r="122" ht="18.75" spans="1:25">
      <c r="A122" s="312"/>
      <c r="B122" s="312"/>
      <c r="C122" s="312"/>
      <c r="D122" s="312"/>
      <c r="E122" s="312"/>
      <c r="F122" s="312"/>
      <c r="G122" s="312"/>
      <c r="H122" s="312"/>
      <c r="I122" s="312"/>
      <c r="J122" s="312"/>
      <c r="K122" s="312"/>
      <c r="L122" s="312"/>
      <c r="M122" s="312"/>
      <c r="N122" s="312"/>
      <c r="O122" s="312"/>
      <c r="P122" s="312"/>
      <c r="Q122" s="312"/>
      <c r="R122" s="312"/>
      <c r="S122" s="312"/>
      <c r="T122" s="312"/>
      <c r="U122" s="312"/>
      <c r="V122" s="312"/>
      <c r="W122" s="312"/>
      <c r="X122" s="312"/>
      <c r="Y122" s="312"/>
    </row>
    <row r="123" ht="18.75" spans="1:25">
      <c r="A123" s="312"/>
      <c r="B123" s="312"/>
      <c r="C123" s="312"/>
      <c r="D123" s="312"/>
      <c r="E123" s="312"/>
      <c r="F123" s="312"/>
      <c r="G123" s="312"/>
      <c r="H123" s="312"/>
      <c r="I123" s="312"/>
      <c r="J123" s="312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2"/>
      <c r="X123" s="312"/>
      <c r="Y123" s="312"/>
    </row>
    <row r="124" ht="18.75" spans="1:25">
      <c r="A124" s="312"/>
      <c r="B124" s="312"/>
      <c r="C124" s="312"/>
      <c r="D124" s="312"/>
      <c r="E124" s="312"/>
      <c r="F124" s="312"/>
      <c r="G124" s="312"/>
      <c r="H124" s="312"/>
      <c r="I124" s="312"/>
      <c r="J124" s="312"/>
      <c r="K124" s="312"/>
      <c r="L124" s="312"/>
      <c r="M124" s="312"/>
      <c r="N124" s="312"/>
      <c r="O124" s="312"/>
      <c r="P124" s="312"/>
      <c r="Q124" s="312"/>
      <c r="R124" s="312"/>
      <c r="S124" s="312"/>
      <c r="T124" s="312"/>
      <c r="U124" s="312"/>
      <c r="V124" s="312"/>
      <c r="W124" s="312"/>
      <c r="X124" s="312"/>
      <c r="Y124" s="312"/>
    </row>
    <row r="125" ht="18.75" spans="1:25">
      <c r="A125" s="312"/>
      <c r="B125" s="312"/>
      <c r="C125" s="312"/>
      <c r="D125" s="312"/>
      <c r="E125" s="312"/>
      <c r="F125" s="312"/>
      <c r="G125" s="312"/>
      <c r="H125" s="312"/>
      <c r="I125" s="312"/>
      <c r="J125" s="312"/>
      <c r="K125" s="312"/>
      <c r="L125" s="312"/>
      <c r="M125" s="312"/>
      <c r="N125" s="312"/>
      <c r="O125" s="312"/>
      <c r="P125" s="312"/>
      <c r="Q125" s="312"/>
      <c r="R125" s="312"/>
      <c r="S125" s="312"/>
      <c r="T125" s="312"/>
      <c r="U125" s="312"/>
      <c r="V125" s="312"/>
      <c r="W125" s="312"/>
      <c r="X125" s="312"/>
      <c r="Y125" s="312"/>
    </row>
    <row r="126" ht="18.75" spans="1:25">
      <c r="A126" s="312"/>
      <c r="B126" s="312"/>
      <c r="C126" s="312"/>
      <c r="D126" s="312"/>
      <c r="E126" s="312"/>
      <c r="F126" s="312"/>
      <c r="G126" s="312"/>
      <c r="H126" s="312"/>
      <c r="I126" s="312"/>
      <c r="J126" s="312"/>
      <c r="K126" s="312"/>
      <c r="L126" s="312"/>
      <c r="M126" s="312"/>
      <c r="N126" s="312"/>
      <c r="O126" s="312"/>
      <c r="P126" s="312"/>
      <c r="Q126" s="312"/>
      <c r="R126" s="312"/>
      <c r="S126" s="312"/>
      <c r="T126" s="312"/>
      <c r="U126" s="312"/>
      <c r="V126" s="312"/>
      <c r="W126" s="312"/>
      <c r="X126" s="312"/>
      <c r="Y126" s="312"/>
    </row>
    <row r="127" ht="18.75" spans="1:25">
      <c r="A127" s="312"/>
      <c r="B127" s="312"/>
      <c r="C127" s="312"/>
      <c r="D127" s="312"/>
      <c r="E127" s="312"/>
      <c r="F127" s="312"/>
      <c r="G127" s="312"/>
      <c r="H127" s="312"/>
      <c r="I127" s="312"/>
      <c r="J127" s="312"/>
      <c r="K127" s="312"/>
      <c r="L127" s="312"/>
      <c r="M127" s="312"/>
      <c r="N127" s="312"/>
      <c r="O127" s="312"/>
      <c r="P127" s="312"/>
      <c r="Q127" s="312"/>
      <c r="R127" s="312"/>
      <c r="S127" s="312"/>
      <c r="T127" s="312"/>
      <c r="U127" s="312"/>
      <c r="V127" s="312"/>
      <c r="W127" s="312"/>
      <c r="X127" s="312"/>
      <c r="Y127" s="312"/>
    </row>
    <row r="128" ht="18.75" spans="1:25">
      <c r="A128" s="312"/>
      <c r="B128" s="312"/>
      <c r="C128" s="312"/>
      <c r="D128" s="312"/>
      <c r="E128" s="312"/>
      <c r="F128" s="312"/>
      <c r="G128" s="312"/>
      <c r="H128" s="312"/>
      <c r="I128" s="312"/>
      <c r="J128" s="312"/>
      <c r="K128" s="312"/>
      <c r="L128" s="312"/>
      <c r="M128" s="312"/>
      <c r="N128" s="312"/>
      <c r="O128" s="312"/>
      <c r="P128" s="312"/>
      <c r="Q128" s="312"/>
      <c r="R128" s="312"/>
      <c r="S128" s="312"/>
      <c r="T128" s="312"/>
      <c r="U128" s="312"/>
      <c r="V128" s="312"/>
      <c r="W128" s="312"/>
      <c r="X128" s="312"/>
      <c r="Y128" s="312"/>
    </row>
    <row r="129" ht="18.75" spans="1:25">
      <c r="A129" s="312"/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2"/>
      <c r="M129" s="312"/>
      <c r="N129" s="312"/>
      <c r="O129" s="312"/>
      <c r="P129" s="312"/>
      <c r="Q129" s="312"/>
      <c r="R129" s="312"/>
      <c r="S129" s="312"/>
      <c r="T129" s="312"/>
      <c r="U129" s="312"/>
      <c r="V129" s="312"/>
      <c r="W129" s="312"/>
      <c r="X129" s="312"/>
      <c r="Y129" s="312"/>
    </row>
    <row r="130" ht="18.75" spans="1:25">
      <c r="A130" s="312"/>
      <c r="B130" s="312"/>
      <c r="C130" s="312"/>
      <c r="D130" s="312"/>
      <c r="E130" s="312"/>
      <c r="F130" s="312"/>
      <c r="G130" s="312"/>
      <c r="H130" s="312"/>
      <c r="I130" s="312"/>
      <c r="J130" s="312"/>
      <c r="K130" s="312"/>
      <c r="L130" s="312"/>
      <c r="M130" s="312"/>
      <c r="N130" s="312"/>
      <c r="O130" s="312"/>
      <c r="P130" s="312"/>
      <c r="Q130" s="312"/>
      <c r="R130" s="312"/>
      <c r="S130" s="312"/>
      <c r="T130" s="312"/>
      <c r="U130" s="312"/>
      <c r="V130" s="312"/>
      <c r="W130" s="312"/>
      <c r="X130" s="312"/>
      <c r="Y130" s="312"/>
    </row>
    <row r="131" ht="18.75" spans="1:25">
      <c r="A131" s="312"/>
      <c r="B131" s="312"/>
      <c r="C131" s="312"/>
      <c r="D131" s="312"/>
      <c r="E131" s="312"/>
      <c r="F131" s="312"/>
      <c r="G131" s="312"/>
      <c r="H131" s="312"/>
      <c r="I131" s="312"/>
      <c r="J131" s="312"/>
      <c r="K131" s="312"/>
      <c r="L131" s="312"/>
      <c r="M131" s="312"/>
      <c r="N131" s="312"/>
      <c r="O131" s="312"/>
      <c r="P131" s="312"/>
      <c r="Q131" s="312"/>
      <c r="R131" s="312"/>
      <c r="S131" s="312"/>
      <c r="T131" s="312"/>
      <c r="U131" s="312"/>
      <c r="V131" s="312"/>
      <c r="W131" s="312"/>
      <c r="X131" s="312"/>
      <c r="Y131" s="312"/>
    </row>
    <row r="132" ht="18.75" spans="1:25">
      <c r="A132" s="312"/>
      <c r="B132" s="312"/>
      <c r="C132" s="312"/>
      <c r="D132" s="312"/>
      <c r="E132" s="312"/>
      <c r="F132" s="312"/>
      <c r="G132" s="312"/>
      <c r="H132" s="312"/>
      <c r="I132" s="312"/>
      <c r="J132" s="312"/>
      <c r="K132" s="312"/>
      <c r="L132" s="312"/>
      <c r="M132" s="312"/>
      <c r="N132" s="312"/>
      <c r="O132" s="312"/>
      <c r="P132" s="312"/>
      <c r="Q132" s="312"/>
      <c r="R132" s="312"/>
      <c r="S132" s="312"/>
      <c r="T132" s="312"/>
      <c r="U132" s="312"/>
      <c r="V132" s="312"/>
      <c r="W132" s="312"/>
      <c r="X132" s="312"/>
      <c r="Y132" s="312"/>
    </row>
    <row r="133" ht="18.75" spans="1:25">
      <c r="A133" s="312"/>
      <c r="B133" s="312"/>
      <c r="C133" s="312"/>
      <c r="D133" s="312"/>
      <c r="E133" s="312"/>
      <c r="F133" s="312"/>
      <c r="G133" s="312"/>
      <c r="H133" s="312"/>
      <c r="I133" s="312"/>
      <c r="J133" s="312"/>
      <c r="K133" s="312"/>
      <c r="L133" s="312"/>
      <c r="M133" s="312"/>
      <c r="N133" s="312"/>
      <c r="O133" s="312"/>
      <c r="P133" s="312"/>
      <c r="Q133" s="312"/>
      <c r="R133" s="312"/>
      <c r="S133" s="312"/>
      <c r="T133" s="312"/>
      <c r="U133" s="312"/>
      <c r="V133" s="312"/>
      <c r="W133" s="312"/>
      <c r="X133" s="312"/>
      <c r="Y133" s="312"/>
    </row>
    <row r="134" ht="18.75" spans="1:25">
      <c r="A134" s="312"/>
      <c r="B134" s="312"/>
      <c r="C134" s="312"/>
      <c r="D134" s="312"/>
      <c r="E134" s="312"/>
      <c r="F134" s="312"/>
      <c r="G134" s="312"/>
      <c r="H134" s="312"/>
      <c r="I134" s="312"/>
      <c r="J134" s="312"/>
      <c r="K134" s="312"/>
      <c r="L134" s="312"/>
      <c r="M134" s="312"/>
      <c r="N134" s="312"/>
      <c r="O134" s="312"/>
      <c r="P134" s="312"/>
      <c r="Q134" s="312"/>
      <c r="R134" s="312"/>
      <c r="S134" s="312"/>
      <c r="T134" s="312"/>
      <c r="U134" s="312"/>
      <c r="V134" s="312"/>
      <c r="W134" s="312"/>
      <c r="X134" s="312"/>
      <c r="Y134" s="312"/>
    </row>
    <row r="135" ht="18.75" spans="1:25">
      <c r="A135" s="312"/>
      <c r="B135" s="312"/>
      <c r="C135" s="312"/>
      <c r="D135" s="312"/>
      <c r="E135" s="312"/>
      <c r="F135" s="312"/>
      <c r="G135" s="312"/>
      <c r="H135" s="312"/>
      <c r="I135" s="312"/>
      <c r="J135" s="312"/>
      <c r="K135" s="312"/>
      <c r="L135" s="312"/>
      <c r="M135" s="312"/>
      <c r="N135" s="312"/>
      <c r="O135" s="312"/>
      <c r="P135" s="312"/>
      <c r="Q135" s="312"/>
      <c r="R135" s="312"/>
      <c r="S135" s="312"/>
      <c r="T135" s="312"/>
      <c r="U135" s="312"/>
      <c r="V135" s="312"/>
      <c r="W135" s="312"/>
      <c r="X135" s="312"/>
      <c r="Y135" s="312"/>
    </row>
    <row r="136" ht="18.75" spans="1:25">
      <c r="A136" s="312"/>
      <c r="B136" s="312"/>
      <c r="C136" s="312"/>
      <c r="D136" s="312"/>
      <c r="E136" s="312"/>
      <c r="F136" s="312"/>
      <c r="G136" s="312"/>
      <c r="H136" s="312"/>
      <c r="I136" s="312"/>
      <c r="J136" s="312"/>
      <c r="K136" s="312"/>
      <c r="L136" s="312"/>
      <c r="M136" s="312"/>
      <c r="N136" s="312"/>
      <c r="O136" s="312"/>
      <c r="P136" s="312"/>
      <c r="Q136" s="312"/>
      <c r="R136" s="312"/>
      <c r="S136" s="312"/>
      <c r="T136" s="312"/>
      <c r="U136" s="312"/>
      <c r="V136" s="312"/>
      <c r="W136" s="312"/>
      <c r="X136" s="312"/>
      <c r="Y136" s="312"/>
    </row>
    <row r="137" ht="18.75" spans="1:25">
      <c r="A137" s="312"/>
      <c r="B137" s="312"/>
      <c r="C137" s="312"/>
      <c r="D137" s="312"/>
      <c r="E137" s="312"/>
      <c r="F137" s="312"/>
      <c r="G137" s="312"/>
      <c r="H137" s="312"/>
      <c r="I137" s="312"/>
      <c r="J137" s="312"/>
      <c r="K137" s="312"/>
      <c r="L137" s="312"/>
      <c r="M137" s="312"/>
      <c r="N137" s="312"/>
      <c r="O137" s="312"/>
      <c r="P137" s="312"/>
      <c r="Q137" s="312"/>
      <c r="R137" s="312"/>
      <c r="S137" s="312"/>
      <c r="T137" s="312"/>
      <c r="U137" s="312"/>
      <c r="V137" s="312"/>
      <c r="W137" s="312"/>
      <c r="X137" s="312"/>
      <c r="Y137" s="312"/>
    </row>
    <row r="138" ht="18.75" spans="1:25">
      <c r="A138" s="312"/>
      <c r="B138" s="312"/>
      <c r="C138" s="312"/>
      <c r="D138" s="312"/>
      <c r="E138" s="312"/>
      <c r="F138" s="312"/>
      <c r="G138" s="312"/>
      <c r="H138" s="312"/>
      <c r="I138" s="312"/>
      <c r="J138" s="312"/>
      <c r="K138" s="312"/>
      <c r="L138" s="312"/>
      <c r="M138" s="312"/>
      <c r="N138" s="312"/>
      <c r="O138" s="312"/>
      <c r="P138" s="312"/>
      <c r="Q138" s="312"/>
      <c r="R138" s="312"/>
      <c r="S138" s="312"/>
      <c r="T138" s="312"/>
      <c r="U138" s="312"/>
      <c r="V138" s="312"/>
      <c r="W138" s="312"/>
      <c r="X138" s="312"/>
      <c r="Y138" s="312"/>
    </row>
    <row r="139" ht="18.75" spans="1:25">
      <c r="A139" s="312"/>
      <c r="B139" s="312"/>
      <c r="C139" s="312"/>
      <c r="D139" s="312"/>
      <c r="E139" s="312"/>
      <c r="F139" s="312"/>
      <c r="G139" s="312"/>
      <c r="H139" s="312"/>
      <c r="I139" s="312"/>
      <c r="J139" s="312"/>
      <c r="K139" s="312"/>
      <c r="L139" s="312"/>
      <c r="M139" s="312"/>
      <c r="N139" s="312"/>
      <c r="O139" s="312"/>
      <c r="P139" s="312"/>
      <c r="Q139" s="312"/>
      <c r="R139" s="312"/>
      <c r="S139" s="312"/>
      <c r="T139" s="312"/>
      <c r="U139" s="312"/>
      <c r="V139" s="312"/>
      <c r="W139" s="312"/>
      <c r="X139" s="312"/>
      <c r="Y139" s="312"/>
    </row>
    <row r="140" ht="18.75" spans="1:25">
      <c r="A140" s="312"/>
      <c r="B140" s="312"/>
      <c r="C140" s="312"/>
      <c r="D140" s="312"/>
      <c r="E140" s="312"/>
      <c r="F140" s="312"/>
      <c r="G140" s="312"/>
      <c r="H140" s="312"/>
      <c r="I140" s="312"/>
      <c r="J140" s="312"/>
      <c r="K140" s="312"/>
      <c r="L140" s="312"/>
      <c r="M140" s="312"/>
      <c r="N140" s="312"/>
      <c r="O140" s="312"/>
      <c r="P140" s="312"/>
      <c r="Q140" s="312"/>
      <c r="R140" s="312"/>
      <c r="S140" s="312"/>
      <c r="T140" s="312"/>
      <c r="U140" s="312"/>
      <c r="V140" s="312"/>
      <c r="W140" s="312"/>
      <c r="X140" s="312"/>
      <c r="Y140" s="312"/>
    </row>
    <row r="141" ht="18.75" spans="1:25">
      <c r="A141" s="312"/>
      <c r="B141" s="312"/>
      <c r="C141" s="312"/>
      <c r="D141" s="312"/>
      <c r="E141" s="312"/>
      <c r="F141" s="312"/>
      <c r="G141" s="312"/>
      <c r="H141" s="312"/>
      <c r="I141" s="312"/>
      <c r="J141" s="312"/>
      <c r="K141" s="312"/>
      <c r="L141" s="312"/>
      <c r="M141" s="312"/>
      <c r="N141" s="312"/>
      <c r="O141" s="312"/>
      <c r="P141" s="312"/>
      <c r="Q141" s="312"/>
      <c r="R141" s="312"/>
      <c r="S141" s="312"/>
      <c r="T141" s="312"/>
      <c r="U141" s="312"/>
      <c r="V141" s="312"/>
      <c r="W141" s="312"/>
      <c r="X141" s="312"/>
      <c r="Y141" s="312"/>
    </row>
    <row r="142" ht="18.75" spans="1:25">
      <c r="A142" s="312"/>
      <c r="B142" s="312"/>
      <c r="C142" s="312"/>
      <c r="D142" s="312"/>
      <c r="E142" s="312"/>
      <c r="F142" s="312"/>
      <c r="G142" s="312"/>
      <c r="H142" s="312"/>
      <c r="I142" s="312"/>
      <c r="J142" s="312"/>
      <c r="K142" s="312"/>
      <c r="L142" s="312"/>
      <c r="M142" s="312"/>
      <c r="N142" s="312"/>
      <c r="O142" s="312"/>
      <c r="P142" s="312"/>
      <c r="Q142" s="312"/>
      <c r="R142" s="312"/>
      <c r="S142" s="312"/>
      <c r="T142" s="312"/>
      <c r="U142" s="312"/>
      <c r="V142" s="312"/>
      <c r="W142" s="312"/>
      <c r="X142" s="312"/>
      <c r="Y142" s="312"/>
    </row>
    <row r="143" ht="18.75" spans="1:25">
      <c r="A143" s="312"/>
      <c r="B143" s="312"/>
      <c r="C143" s="312"/>
      <c r="D143" s="312"/>
      <c r="E143" s="312"/>
      <c r="F143" s="312"/>
      <c r="G143" s="312"/>
      <c r="H143" s="312"/>
      <c r="I143" s="312"/>
      <c r="J143" s="312"/>
      <c r="K143" s="312"/>
      <c r="L143" s="312"/>
      <c r="M143" s="312"/>
      <c r="N143" s="312"/>
      <c r="O143" s="312"/>
      <c r="P143" s="312"/>
      <c r="Q143" s="312"/>
      <c r="R143" s="312"/>
      <c r="S143" s="312"/>
      <c r="T143" s="312"/>
      <c r="U143" s="312"/>
      <c r="V143" s="312"/>
      <c r="W143" s="312"/>
      <c r="X143" s="312"/>
      <c r="Y143" s="312"/>
    </row>
    <row r="144" ht="18.75" spans="1:25">
      <c r="A144" s="312"/>
      <c r="B144" s="312"/>
      <c r="C144" s="312"/>
      <c r="D144" s="312"/>
      <c r="E144" s="312"/>
      <c r="F144" s="312"/>
      <c r="G144" s="312"/>
      <c r="H144" s="312"/>
      <c r="I144" s="312"/>
      <c r="J144" s="312"/>
      <c r="K144" s="312"/>
      <c r="L144" s="312"/>
      <c r="M144" s="312"/>
      <c r="N144" s="312"/>
      <c r="O144" s="312"/>
      <c r="P144" s="312"/>
      <c r="Q144" s="312"/>
      <c r="R144" s="312"/>
      <c r="S144" s="312"/>
      <c r="T144" s="312"/>
      <c r="U144" s="312"/>
      <c r="V144" s="312"/>
      <c r="W144" s="312"/>
      <c r="X144" s="312"/>
      <c r="Y144" s="312"/>
    </row>
    <row r="145" ht="18.75" spans="1:25">
      <c r="A145" s="312"/>
      <c r="B145" s="312"/>
      <c r="C145" s="312"/>
      <c r="D145" s="312"/>
      <c r="E145" s="312"/>
      <c r="F145" s="312"/>
      <c r="G145" s="312"/>
      <c r="H145" s="312"/>
      <c r="I145" s="312"/>
      <c r="J145" s="312"/>
      <c r="K145" s="312"/>
      <c r="L145" s="312"/>
      <c r="M145" s="312"/>
      <c r="N145" s="312"/>
      <c r="O145" s="312"/>
      <c r="P145" s="312"/>
      <c r="Q145" s="312"/>
      <c r="R145" s="312"/>
      <c r="S145" s="312"/>
      <c r="T145" s="312"/>
      <c r="U145" s="312"/>
      <c r="V145" s="312"/>
      <c r="W145" s="312"/>
      <c r="X145" s="312"/>
      <c r="Y145" s="312"/>
    </row>
    <row r="146" ht="18.75" spans="1:25">
      <c r="A146" s="312"/>
      <c r="B146" s="312"/>
      <c r="C146" s="312"/>
      <c r="D146" s="312"/>
      <c r="E146" s="312"/>
      <c r="F146" s="312"/>
      <c r="G146" s="312"/>
      <c r="H146" s="312"/>
      <c r="I146" s="312"/>
      <c r="J146" s="312"/>
      <c r="K146" s="312"/>
      <c r="L146" s="312"/>
      <c r="M146" s="312"/>
      <c r="N146" s="312"/>
      <c r="O146" s="312"/>
      <c r="P146" s="312"/>
      <c r="Q146" s="312"/>
      <c r="R146" s="312"/>
      <c r="S146" s="312"/>
      <c r="T146" s="312"/>
      <c r="U146" s="312"/>
      <c r="V146" s="312"/>
      <c r="W146" s="312"/>
      <c r="X146" s="312"/>
      <c r="Y146" s="312"/>
    </row>
    <row r="147" ht="18.75" spans="1:25">
      <c r="A147" s="312"/>
      <c r="B147" s="312"/>
      <c r="C147" s="312"/>
      <c r="D147" s="312"/>
      <c r="E147" s="312"/>
      <c r="F147" s="312"/>
      <c r="G147" s="312"/>
      <c r="H147" s="312"/>
      <c r="I147" s="312"/>
      <c r="J147" s="312"/>
      <c r="K147" s="312"/>
      <c r="L147" s="312"/>
      <c r="M147" s="312"/>
      <c r="N147" s="312"/>
      <c r="O147" s="312"/>
      <c r="P147" s="312"/>
      <c r="Q147" s="312"/>
      <c r="R147" s="312"/>
      <c r="S147" s="312"/>
      <c r="T147" s="312"/>
      <c r="U147" s="312"/>
      <c r="V147" s="312"/>
      <c r="W147" s="312"/>
      <c r="X147" s="312"/>
      <c r="Y147" s="312"/>
    </row>
    <row r="148" ht="18.75" spans="1:25">
      <c r="A148" s="312"/>
      <c r="B148" s="312"/>
      <c r="C148" s="312"/>
      <c r="D148" s="312"/>
      <c r="E148" s="312"/>
      <c r="F148" s="312"/>
      <c r="G148" s="312"/>
      <c r="H148" s="312"/>
      <c r="I148" s="312"/>
      <c r="J148" s="312"/>
      <c r="K148" s="312"/>
      <c r="L148" s="312"/>
      <c r="M148" s="312"/>
      <c r="N148" s="312"/>
      <c r="O148" s="312"/>
      <c r="P148" s="312"/>
      <c r="Q148" s="312"/>
      <c r="R148" s="312"/>
      <c r="S148" s="312"/>
      <c r="T148" s="312"/>
      <c r="U148" s="312"/>
      <c r="V148" s="312"/>
      <c r="W148" s="312"/>
      <c r="X148" s="312"/>
      <c r="Y148" s="312"/>
    </row>
    <row r="149" ht="18.75" spans="1:25">
      <c r="A149" s="312"/>
      <c r="B149" s="312"/>
      <c r="C149" s="312"/>
      <c r="D149" s="312"/>
      <c r="E149" s="312"/>
      <c r="F149" s="312"/>
      <c r="G149" s="312"/>
      <c r="H149" s="312"/>
      <c r="I149" s="312"/>
      <c r="J149" s="312"/>
      <c r="K149" s="312"/>
      <c r="L149" s="312"/>
      <c r="M149" s="312"/>
      <c r="N149" s="312"/>
      <c r="O149" s="312"/>
      <c r="P149" s="312"/>
      <c r="Q149" s="312"/>
      <c r="R149" s="312"/>
      <c r="S149" s="312"/>
      <c r="T149" s="312"/>
      <c r="U149" s="312"/>
      <c r="V149" s="312"/>
      <c r="W149" s="312"/>
      <c r="X149" s="312"/>
      <c r="Y149" s="312"/>
    </row>
    <row r="150" ht="18.75" spans="1:25">
      <c r="A150" s="312"/>
      <c r="B150" s="312"/>
      <c r="C150" s="312"/>
      <c r="D150" s="312"/>
      <c r="E150" s="312"/>
      <c r="F150" s="312"/>
      <c r="G150" s="312"/>
      <c r="H150" s="312"/>
      <c r="I150" s="312"/>
      <c r="J150" s="312"/>
      <c r="K150" s="312"/>
      <c r="L150" s="312"/>
      <c r="M150" s="312"/>
      <c r="N150" s="312"/>
      <c r="O150" s="312"/>
      <c r="P150" s="312"/>
      <c r="Q150" s="312"/>
      <c r="R150" s="312"/>
      <c r="S150" s="312"/>
      <c r="T150" s="312"/>
      <c r="U150" s="312"/>
      <c r="V150" s="312"/>
      <c r="W150" s="312"/>
      <c r="X150" s="312"/>
      <c r="Y150" s="312"/>
    </row>
    <row r="151" ht="18.75" spans="1:25">
      <c r="A151" s="312"/>
      <c r="B151" s="312"/>
      <c r="C151" s="312"/>
      <c r="D151" s="312"/>
      <c r="E151" s="312"/>
      <c r="F151" s="312"/>
      <c r="G151" s="312"/>
      <c r="H151" s="312"/>
      <c r="I151" s="312"/>
      <c r="J151" s="312"/>
      <c r="K151" s="312"/>
      <c r="L151" s="312"/>
      <c r="M151" s="312"/>
      <c r="N151" s="312"/>
      <c r="O151" s="312"/>
      <c r="P151" s="312"/>
      <c r="Q151" s="312"/>
      <c r="R151" s="312"/>
      <c r="S151" s="312"/>
      <c r="T151" s="312"/>
      <c r="U151" s="312"/>
      <c r="V151" s="312"/>
      <c r="W151" s="312"/>
      <c r="X151" s="312"/>
      <c r="Y151" s="312"/>
    </row>
    <row r="152" ht="18.75" spans="1:25">
      <c r="A152" s="312"/>
      <c r="B152" s="312"/>
      <c r="C152" s="312"/>
      <c r="D152" s="312"/>
      <c r="E152" s="312"/>
      <c r="F152" s="312"/>
      <c r="G152" s="312"/>
      <c r="H152" s="312"/>
      <c r="I152" s="312"/>
      <c r="J152" s="312"/>
      <c r="K152" s="312"/>
      <c r="L152" s="312"/>
      <c r="M152" s="312"/>
      <c r="N152" s="312"/>
      <c r="O152" s="312"/>
      <c r="P152" s="312"/>
      <c r="Q152" s="312"/>
      <c r="R152" s="312"/>
      <c r="S152" s="312"/>
      <c r="T152" s="312"/>
      <c r="U152" s="312"/>
      <c r="V152" s="312"/>
      <c r="W152" s="312"/>
      <c r="X152" s="312"/>
      <c r="Y152" s="312"/>
    </row>
    <row r="153" ht="18.75" spans="1:25">
      <c r="A153" s="312"/>
      <c r="B153" s="312"/>
      <c r="C153" s="312"/>
      <c r="D153" s="312"/>
      <c r="E153" s="312"/>
      <c r="F153" s="312"/>
      <c r="G153" s="312"/>
      <c r="H153" s="312"/>
      <c r="I153" s="312"/>
      <c r="J153" s="312"/>
      <c r="K153" s="312"/>
      <c r="L153" s="312"/>
      <c r="M153" s="312"/>
      <c r="N153" s="312"/>
      <c r="O153" s="312"/>
      <c r="P153" s="312"/>
      <c r="Q153" s="312"/>
      <c r="R153" s="312"/>
      <c r="S153" s="312"/>
      <c r="T153" s="312"/>
      <c r="U153" s="312"/>
      <c r="V153" s="312"/>
      <c r="W153" s="312"/>
      <c r="X153" s="312"/>
      <c r="Y153" s="312"/>
    </row>
    <row r="154" ht="18.75" spans="1:25">
      <c r="A154" s="312"/>
      <c r="B154" s="312"/>
      <c r="C154" s="312"/>
      <c r="D154" s="312"/>
      <c r="E154" s="312"/>
      <c r="F154" s="312"/>
      <c r="G154" s="312"/>
      <c r="H154" s="312"/>
      <c r="I154" s="312"/>
      <c r="J154" s="312"/>
      <c r="K154" s="312"/>
      <c r="L154" s="312"/>
      <c r="M154" s="312"/>
      <c r="N154" s="312"/>
      <c r="O154" s="312"/>
      <c r="P154" s="312"/>
      <c r="Q154" s="312"/>
      <c r="R154" s="312"/>
      <c r="S154" s="312"/>
      <c r="T154" s="312"/>
      <c r="U154" s="312"/>
      <c r="V154" s="312"/>
      <c r="W154" s="312"/>
      <c r="X154" s="312"/>
      <c r="Y154" s="312"/>
    </row>
    <row r="155" ht="18.75" spans="1:25">
      <c r="A155" s="312"/>
      <c r="B155" s="312"/>
      <c r="C155" s="312"/>
      <c r="D155" s="312"/>
      <c r="E155" s="312"/>
      <c r="F155" s="312"/>
      <c r="G155" s="312"/>
      <c r="H155" s="312"/>
      <c r="I155" s="312"/>
      <c r="J155" s="312"/>
      <c r="K155" s="312"/>
      <c r="L155" s="312"/>
      <c r="M155" s="312"/>
      <c r="N155" s="312"/>
      <c r="O155" s="312"/>
      <c r="P155" s="312"/>
      <c r="Q155" s="312"/>
      <c r="R155" s="312"/>
      <c r="S155" s="312"/>
      <c r="T155" s="312"/>
      <c r="U155" s="312"/>
      <c r="V155" s="312"/>
      <c r="W155" s="312"/>
      <c r="X155" s="312"/>
      <c r="Y155" s="312"/>
    </row>
    <row r="156" ht="18.75" spans="1:25">
      <c r="A156" s="312"/>
      <c r="B156" s="312"/>
      <c r="C156" s="312"/>
      <c r="D156" s="312"/>
      <c r="E156" s="312"/>
      <c r="F156" s="312"/>
      <c r="G156" s="312"/>
      <c r="H156" s="312"/>
      <c r="I156" s="312"/>
      <c r="J156" s="312"/>
      <c r="K156" s="312"/>
      <c r="L156" s="312"/>
      <c r="M156" s="312"/>
      <c r="N156" s="312"/>
      <c r="O156" s="312"/>
      <c r="P156" s="312"/>
      <c r="Q156" s="312"/>
      <c r="R156" s="312"/>
      <c r="S156" s="312"/>
      <c r="T156" s="312"/>
      <c r="U156" s="312"/>
      <c r="V156" s="312"/>
      <c r="W156" s="312"/>
      <c r="X156" s="312"/>
      <c r="Y156" s="312"/>
    </row>
    <row r="157" ht="18.75" spans="1:25">
      <c r="A157" s="312"/>
      <c r="B157" s="312"/>
      <c r="C157" s="312"/>
      <c r="D157" s="312"/>
      <c r="E157" s="312"/>
      <c r="F157" s="312"/>
      <c r="G157" s="312"/>
      <c r="H157" s="312"/>
      <c r="I157" s="312"/>
      <c r="J157" s="312"/>
      <c r="K157" s="312"/>
      <c r="L157" s="312"/>
      <c r="M157" s="312"/>
      <c r="N157" s="312"/>
      <c r="O157" s="312"/>
      <c r="P157" s="312"/>
      <c r="Q157" s="312"/>
      <c r="R157" s="312"/>
      <c r="S157" s="312"/>
      <c r="T157" s="312"/>
      <c r="U157" s="312"/>
      <c r="V157" s="312"/>
      <c r="W157" s="312"/>
      <c r="X157" s="312"/>
      <c r="Y157" s="312"/>
    </row>
    <row r="158" ht="18.75" spans="1:25">
      <c r="A158" s="312"/>
      <c r="B158" s="312"/>
      <c r="C158" s="312"/>
      <c r="D158" s="312"/>
      <c r="E158" s="312"/>
      <c r="F158" s="312"/>
      <c r="G158" s="312"/>
      <c r="H158" s="312"/>
      <c r="I158" s="312"/>
      <c r="J158" s="312"/>
      <c r="K158" s="312"/>
      <c r="L158" s="312"/>
      <c r="M158" s="312"/>
      <c r="N158" s="312"/>
      <c r="O158" s="312"/>
      <c r="P158" s="312"/>
      <c r="Q158" s="312"/>
      <c r="R158" s="312"/>
      <c r="S158" s="312"/>
      <c r="T158" s="312"/>
      <c r="U158" s="312"/>
      <c r="V158" s="312"/>
      <c r="W158" s="312"/>
      <c r="X158" s="312"/>
      <c r="Y158" s="312"/>
    </row>
    <row r="159" ht="18.75" spans="1:25">
      <c r="A159" s="312"/>
      <c r="B159" s="312"/>
      <c r="C159" s="312"/>
      <c r="D159" s="312"/>
      <c r="E159" s="312"/>
      <c r="F159" s="312"/>
      <c r="G159" s="312"/>
      <c r="H159" s="312"/>
      <c r="I159" s="312"/>
      <c r="J159" s="312"/>
      <c r="K159" s="312"/>
      <c r="L159" s="312"/>
      <c r="M159" s="312"/>
      <c r="N159" s="312"/>
      <c r="O159" s="312"/>
      <c r="P159" s="312"/>
      <c r="Q159" s="312"/>
      <c r="R159" s="312"/>
      <c r="S159" s="312"/>
      <c r="T159" s="312"/>
      <c r="U159" s="312"/>
      <c r="V159" s="312"/>
      <c r="W159" s="312"/>
      <c r="X159" s="312"/>
      <c r="Y159" s="312"/>
    </row>
    <row r="160" ht="18.75" spans="1:25">
      <c r="A160" s="312"/>
      <c r="B160" s="312"/>
      <c r="C160" s="312"/>
      <c r="D160" s="312"/>
      <c r="E160" s="312"/>
      <c r="F160" s="312"/>
      <c r="G160" s="312"/>
      <c r="H160" s="312"/>
      <c r="I160" s="312"/>
      <c r="J160" s="312"/>
      <c r="K160" s="312"/>
      <c r="L160" s="312"/>
      <c r="M160" s="312"/>
      <c r="N160" s="312"/>
      <c r="O160" s="312"/>
      <c r="P160" s="312"/>
      <c r="Q160" s="312"/>
      <c r="R160" s="312"/>
      <c r="S160" s="312"/>
      <c r="T160" s="312"/>
      <c r="U160" s="312"/>
      <c r="V160" s="312"/>
      <c r="W160" s="312"/>
      <c r="X160" s="312"/>
      <c r="Y160" s="312"/>
    </row>
    <row r="161" ht="18.75" spans="1:25">
      <c r="A161" s="312"/>
      <c r="B161" s="312"/>
      <c r="C161" s="312"/>
      <c r="D161" s="312"/>
      <c r="E161" s="312"/>
      <c r="F161" s="312"/>
      <c r="G161" s="312"/>
      <c r="H161" s="312"/>
      <c r="I161" s="312"/>
      <c r="J161" s="312"/>
      <c r="K161" s="312"/>
      <c r="L161" s="312"/>
      <c r="M161" s="312"/>
      <c r="N161" s="312"/>
      <c r="O161" s="312"/>
      <c r="P161" s="312"/>
      <c r="Q161" s="312"/>
      <c r="R161" s="312"/>
      <c r="S161" s="312"/>
      <c r="T161" s="312"/>
      <c r="U161" s="312"/>
      <c r="V161" s="312"/>
      <c r="W161" s="312"/>
      <c r="X161" s="312"/>
      <c r="Y161" s="312"/>
    </row>
    <row r="162" ht="18.75" spans="1:25">
      <c r="A162" s="312"/>
      <c r="B162" s="312"/>
      <c r="C162" s="312"/>
      <c r="D162" s="312"/>
      <c r="E162" s="312"/>
      <c r="F162" s="312"/>
      <c r="G162" s="312"/>
      <c r="H162" s="312"/>
      <c r="I162" s="312"/>
      <c r="J162" s="312"/>
      <c r="K162" s="312"/>
      <c r="L162" s="312"/>
      <c r="M162" s="312"/>
      <c r="N162" s="312"/>
      <c r="O162" s="312"/>
      <c r="P162" s="312"/>
      <c r="Q162" s="312"/>
      <c r="R162" s="312"/>
      <c r="S162" s="312"/>
      <c r="T162" s="312"/>
      <c r="U162" s="312"/>
      <c r="V162" s="312"/>
      <c r="W162" s="312"/>
      <c r="X162" s="312"/>
      <c r="Y162" s="312"/>
    </row>
    <row r="163" ht="18.75" spans="1:25">
      <c r="A163" s="312"/>
      <c r="B163" s="312"/>
      <c r="C163" s="312"/>
      <c r="D163" s="312"/>
      <c r="E163" s="312"/>
      <c r="F163" s="312"/>
      <c r="G163" s="312"/>
      <c r="H163" s="312"/>
      <c r="I163" s="312"/>
      <c r="J163" s="312"/>
      <c r="K163" s="312"/>
      <c r="L163" s="312"/>
      <c r="M163" s="312"/>
      <c r="N163" s="312"/>
      <c r="O163" s="312"/>
      <c r="P163" s="312"/>
      <c r="Q163" s="312"/>
      <c r="R163" s="312"/>
      <c r="S163" s="312"/>
      <c r="T163" s="312"/>
      <c r="U163" s="312"/>
      <c r="V163" s="312"/>
      <c r="W163" s="312"/>
      <c r="X163" s="312"/>
      <c r="Y163" s="312"/>
    </row>
    <row r="164" ht="18.75" spans="1:25">
      <c r="A164" s="312"/>
      <c r="B164" s="312"/>
      <c r="C164" s="312"/>
      <c r="D164" s="312"/>
      <c r="E164" s="312"/>
      <c r="F164" s="312"/>
      <c r="G164" s="312"/>
      <c r="H164" s="312"/>
      <c r="I164" s="312"/>
      <c r="J164" s="312"/>
      <c r="K164" s="312"/>
      <c r="L164" s="312"/>
      <c r="M164" s="312"/>
      <c r="N164" s="312"/>
      <c r="O164" s="312"/>
      <c r="P164" s="312"/>
      <c r="Q164" s="312"/>
      <c r="R164" s="312"/>
      <c r="S164" s="312"/>
      <c r="T164" s="312"/>
      <c r="U164" s="312"/>
      <c r="V164" s="312"/>
      <c r="W164" s="312"/>
      <c r="X164" s="312"/>
      <c r="Y164" s="312"/>
    </row>
    <row r="165" ht="18.75" spans="1:25">
      <c r="A165" s="312"/>
      <c r="B165" s="312"/>
      <c r="C165" s="312"/>
      <c r="D165" s="312"/>
      <c r="E165" s="312"/>
      <c r="F165" s="312"/>
      <c r="G165" s="312"/>
      <c r="H165" s="312"/>
      <c r="I165" s="312"/>
      <c r="J165" s="312"/>
      <c r="K165" s="312"/>
      <c r="L165" s="312"/>
      <c r="M165" s="312"/>
      <c r="N165" s="312"/>
      <c r="O165" s="312"/>
      <c r="P165" s="312"/>
      <c r="Q165" s="312"/>
      <c r="R165" s="312"/>
      <c r="S165" s="312"/>
      <c r="T165" s="312"/>
      <c r="U165" s="312"/>
      <c r="V165" s="312"/>
      <c r="W165" s="312"/>
      <c r="X165" s="312"/>
      <c r="Y165" s="312"/>
    </row>
    <row r="166" ht="18.75" spans="1:25">
      <c r="A166" s="312"/>
      <c r="B166" s="312"/>
      <c r="C166" s="312"/>
      <c r="D166" s="312"/>
      <c r="E166" s="312"/>
      <c r="F166" s="312"/>
      <c r="G166" s="312"/>
      <c r="H166" s="312"/>
      <c r="I166" s="312"/>
      <c r="J166" s="312"/>
      <c r="K166" s="312"/>
      <c r="L166" s="312"/>
      <c r="M166" s="312"/>
      <c r="N166" s="312"/>
      <c r="O166" s="312"/>
      <c r="P166" s="312"/>
      <c r="Q166" s="312"/>
      <c r="R166" s="312"/>
      <c r="S166" s="312"/>
      <c r="T166" s="312"/>
      <c r="U166" s="312"/>
      <c r="V166" s="312"/>
      <c r="W166" s="312"/>
      <c r="X166" s="312"/>
      <c r="Y166" s="312"/>
    </row>
    <row r="167" ht="18.75" spans="1:25">
      <c r="A167" s="312"/>
      <c r="B167" s="312"/>
      <c r="C167" s="312"/>
      <c r="D167" s="312"/>
      <c r="E167" s="312"/>
      <c r="F167" s="312"/>
      <c r="G167" s="312"/>
      <c r="H167" s="312"/>
      <c r="I167" s="312"/>
      <c r="J167" s="312"/>
      <c r="K167" s="312"/>
      <c r="L167" s="312"/>
      <c r="M167" s="312"/>
      <c r="N167" s="312"/>
      <c r="O167" s="312"/>
      <c r="P167" s="312"/>
      <c r="Q167" s="312"/>
      <c r="R167" s="312"/>
      <c r="S167" s="312"/>
      <c r="T167" s="312"/>
      <c r="U167" s="312"/>
      <c r="V167" s="312"/>
      <c r="W167" s="312"/>
      <c r="X167" s="312"/>
      <c r="Y167" s="312"/>
    </row>
    <row r="168" ht="18.75" spans="1:25">
      <c r="A168" s="312"/>
      <c r="B168" s="312"/>
      <c r="C168" s="312"/>
      <c r="D168" s="312"/>
      <c r="E168" s="312"/>
      <c r="F168" s="312"/>
      <c r="G168" s="312"/>
      <c r="H168" s="312"/>
      <c r="I168" s="312"/>
      <c r="J168" s="312"/>
      <c r="K168" s="312"/>
      <c r="L168" s="312"/>
      <c r="M168" s="312"/>
      <c r="N168" s="312"/>
      <c r="O168" s="312"/>
      <c r="P168" s="312"/>
      <c r="Q168" s="312"/>
      <c r="R168" s="312"/>
      <c r="S168" s="312"/>
      <c r="T168" s="312"/>
      <c r="U168" s="312"/>
      <c r="V168" s="312"/>
      <c r="W168" s="312"/>
      <c r="X168" s="312"/>
      <c r="Y168" s="312"/>
    </row>
    <row r="169" ht="18.75" spans="1:25">
      <c r="A169" s="312"/>
      <c r="B169" s="312"/>
      <c r="C169" s="312"/>
      <c r="D169" s="312"/>
      <c r="E169" s="312"/>
      <c r="F169" s="312"/>
      <c r="G169" s="312"/>
      <c r="H169" s="312"/>
      <c r="I169" s="312"/>
      <c r="J169" s="312"/>
      <c r="K169" s="312"/>
      <c r="L169" s="312"/>
      <c r="M169" s="312"/>
      <c r="N169" s="312"/>
      <c r="O169" s="312"/>
      <c r="P169" s="312"/>
      <c r="Q169" s="312"/>
      <c r="R169" s="312"/>
      <c r="S169" s="312"/>
      <c r="T169" s="312"/>
      <c r="U169" s="312"/>
      <c r="V169" s="312"/>
      <c r="W169" s="312"/>
      <c r="X169" s="312"/>
      <c r="Y169" s="312"/>
    </row>
    <row r="170" ht="18.75" spans="1:25">
      <c r="A170" s="312"/>
      <c r="B170" s="312"/>
      <c r="C170" s="312"/>
      <c r="D170" s="312"/>
      <c r="E170" s="312"/>
      <c r="F170" s="312"/>
      <c r="G170" s="312"/>
      <c r="H170" s="312"/>
      <c r="I170" s="312"/>
      <c r="J170" s="312"/>
      <c r="K170" s="312"/>
      <c r="L170" s="312"/>
      <c r="M170" s="312"/>
      <c r="N170" s="312"/>
      <c r="O170" s="312"/>
      <c r="P170" s="312"/>
      <c r="Q170" s="312"/>
      <c r="R170" s="312"/>
      <c r="S170" s="312"/>
      <c r="T170" s="312"/>
      <c r="U170" s="312"/>
      <c r="V170" s="312"/>
      <c r="W170" s="312"/>
      <c r="X170" s="312"/>
      <c r="Y170" s="312"/>
    </row>
    <row r="171" ht="18.75" spans="1:25">
      <c r="A171" s="312"/>
      <c r="B171" s="312"/>
      <c r="C171" s="312"/>
      <c r="D171" s="312"/>
      <c r="E171" s="312"/>
      <c r="F171" s="312"/>
      <c r="G171" s="312"/>
      <c r="H171" s="312"/>
      <c r="I171" s="312"/>
      <c r="J171" s="312"/>
      <c r="K171" s="312"/>
      <c r="L171" s="312"/>
      <c r="M171" s="312"/>
      <c r="N171" s="312"/>
      <c r="O171" s="312"/>
      <c r="P171" s="312"/>
      <c r="Q171" s="312"/>
      <c r="R171" s="312"/>
      <c r="S171" s="312"/>
      <c r="T171" s="312"/>
      <c r="U171" s="312"/>
      <c r="V171" s="312"/>
      <c r="W171" s="312"/>
      <c r="X171" s="312"/>
      <c r="Y171" s="312"/>
    </row>
    <row r="172" ht="18.75" spans="1:25">
      <c r="A172" s="312"/>
      <c r="B172" s="312"/>
      <c r="C172" s="312"/>
      <c r="D172" s="312"/>
      <c r="E172" s="312"/>
      <c r="F172" s="312"/>
      <c r="G172" s="312"/>
      <c r="H172" s="312"/>
      <c r="I172" s="312"/>
      <c r="J172" s="312"/>
      <c r="K172" s="312"/>
      <c r="L172" s="312"/>
      <c r="M172" s="312"/>
      <c r="N172" s="312"/>
      <c r="O172" s="312"/>
      <c r="P172" s="312"/>
      <c r="Q172" s="312"/>
      <c r="R172" s="312"/>
      <c r="S172" s="312"/>
      <c r="T172" s="312"/>
      <c r="U172" s="312"/>
      <c r="V172" s="312"/>
      <c r="W172" s="312"/>
      <c r="X172" s="312"/>
      <c r="Y172" s="312"/>
    </row>
    <row r="173" ht="18.75" spans="1:25">
      <c r="A173" s="312"/>
      <c r="B173" s="312"/>
      <c r="C173" s="312"/>
      <c r="D173" s="312"/>
      <c r="E173" s="312"/>
      <c r="F173" s="312"/>
      <c r="G173" s="312"/>
      <c r="H173" s="312"/>
      <c r="I173" s="312"/>
      <c r="J173" s="312"/>
      <c r="K173" s="312"/>
      <c r="L173" s="312"/>
      <c r="M173" s="312"/>
      <c r="N173" s="312"/>
      <c r="O173" s="312"/>
      <c r="P173" s="312"/>
      <c r="Q173" s="312"/>
      <c r="R173" s="312"/>
      <c r="S173" s="312"/>
      <c r="T173" s="312"/>
      <c r="U173" s="312"/>
      <c r="V173" s="312"/>
      <c r="W173" s="312"/>
      <c r="X173" s="312"/>
      <c r="Y173" s="312"/>
    </row>
    <row r="174" ht="18.75" spans="1:25">
      <c r="A174" s="312"/>
      <c r="B174" s="312"/>
      <c r="C174" s="312"/>
      <c r="D174" s="312"/>
      <c r="E174" s="312"/>
      <c r="F174" s="312"/>
      <c r="G174" s="312"/>
      <c r="H174" s="312"/>
      <c r="I174" s="312"/>
      <c r="J174" s="312"/>
      <c r="K174" s="312"/>
      <c r="L174" s="312"/>
      <c r="M174" s="312"/>
      <c r="N174" s="312"/>
      <c r="O174" s="312"/>
      <c r="P174" s="312"/>
      <c r="Q174" s="312"/>
      <c r="R174" s="312"/>
      <c r="S174" s="312"/>
      <c r="T174" s="312"/>
      <c r="U174" s="312"/>
      <c r="V174" s="312"/>
      <c r="W174" s="312"/>
      <c r="X174" s="312"/>
      <c r="Y174" s="312"/>
    </row>
    <row r="175" ht="18.75" spans="1:25">
      <c r="A175" s="312"/>
      <c r="B175" s="312"/>
      <c r="C175" s="312"/>
      <c r="D175" s="312"/>
      <c r="E175" s="312"/>
      <c r="F175" s="312"/>
      <c r="G175" s="312"/>
      <c r="H175" s="312"/>
      <c r="I175" s="312"/>
      <c r="J175" s="312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2"/>
      <c r="X175" s="312"/>
      <c r="Y175" s="312"/>
    </row>
    <row r="176" ht="18.75" spans="1:25">
      <c r="A176" s="312"/>
      <c r="B176" s="312"/>
      <c r="C176" s="312"/>
      <c r="D176" s="312"/>
      <c r="E176" s="312"/>
      <c r="F176" s="312"/>
      <c r="G176" s="312"/>
      <c r="H176" s="312"/>
      <c r="I176" s="312"/>
      <c r="J176" s="312"/>
      <c r="K176" s="312"/>
      <c r="L176" s="312"/>
      <c r="M176" s="312"/>
      <c r="N176" s="312"/>
      <c r="O176" s="312"/>
      <c r="P176" s="312"/>
      <c r="Q176" s="312"/>
      <c r="R176" s="312"/>
      <c r="S176" s="312"/>
      <c r="T176" s="312"/>
      <c r="U176" s="312"/>
      <c r="V176" s="312"/>
      <c r="W176" s="312"/>
      <c r="X176" s="312"/>
      <c r="Y176" s="312"/>
    </row>
    <row r="177" ht="18.75" spans="1:25">
      <c r="A177" s="312"/>
      <c r="B177" s="312"/>
      <c r="C177" s="312"/>
      <c r="D177" s="312"/>
      <c r="E177" s="312"/>
      <c r="F177" s="312"/>
      <c r="G177" s="312"/>
      <c r="H177" s="312"/>
      <c r="I177" s="312"/>
      <c r="J177" s="312"/>
      <c r="K177" s="312"/>
      <c r="L177" s="312"/>
      <c r="M177" s="312"/>
      <c r="N177" s="312"/>
      <c r="O177" s="312"/>
      <c r="P177" s="312"/>
      <c r="Q177" s="312"/>
      <c r="R177" s="312"/>
      <c r="S177" s="312"/>
      <c r="T177" s="312"/>
      <c r="U177" s="312"/>
      <c r="V177" s="312"/>
      <c r="W177" s="312"/>
      <c r="X177" s="312"/>
      <c r="Y177" s="312"/>
    </row>
    <row r="178" ht="18.75" spans="1:25">
      <c r="A178" s="312"/>
      <c r="B178" s="312"/>
      <c r="C178" s="312"/>
      <c r="D178" s="312"/>
      <c r="E178" s="312"/>
      <c r="F178" s="312"/>
      <c r="G178" s="312"/>
      <c r="H178" s="312"/>
      <c r="I178" s="312"/>
      <c r="J178" s="312"/>
      <c r="K178" s="312"/>
      <c r="L178" s="312"/>
      <c r="M178" s="312"/>
      <c r="N178" s="312"/>
      <c r="O178" s="312"/>
      <c r="P178" s="312"/>
      <c r="Q178" s="312"/>
      <c r="R178" s="312"/>
      <c r="S178" s="312"/>
      <c r="T178" s="312"/>
      <c r="U178" s="312"/>
      <c r="V178" s="312"/>
      <c r="W178" s="312"/>
      <c r="X178" s="312"/>
      <c r="Y178" s="312"/>
    </row>
    <row r="179" ht="18.75" spans="1:25">
      <c r="A179" s="312"/>
      <c r="B179" s="312"/>
      <c r="C179" s="312"/>
      <c r="D179" s="312"/>
      <c r="E179" s="312"/>
      <c r="F179" s="312"/>
      <c r="G179" s="312"/>
      <c r="H179" s="312"/>
      <c r="I179" s="312"/>
      <c r="J179" s="312"/>
      <c r="K179" s="312"/>
      <c r="L179" s="312"/>
      <c r="M179" s="312"/>
      <c r="N179" s="312"/>
      <c r="O179" s="312"/>
      <c r="P179" s="312"/>
      <c r="Q179" s="312"/>
      <c r="R179" s="312"/>
      <c r="S179" s="312"/>
      <c r="T179" s="312"/>
      <c r="U179" s="312"/>
      <c r="V179" s="312"/>
      <c r="W179" s="312"/>
      <c r="X179" s="312"/>
      <c r="Y179" s="312"/>
    </row>
    <row r="180" ht="18.75" spans="1:25">
      <c r="A180" s="312"/>
      <c r="B180" s="312"/>
      <c r="C180" s="312"/>
      <c r="D180" s="312"/>
      <c r="E180" s="312"/>
      <c r="F180" s="312"/>
      <c r="G180" s="312"/>
      <c r="H180" s="312"/>
      <c r="I180" s="312"/>
      <c r="J180" s="312"/>
      <c r="K180" s="312"/>
      <c r="L180" s="312"/>
      <c r="M180" s="312"/>
      <c r="N180" s="312"/>
      <c r="O180" s="312"/>
      <c r="P180" s="312"/>
      <c r="Q180" s="312"/>
      <c r="R180" s="312"/>
      <c r="S180" s="312"/>
      <c r="T180" s="312"/>
      <c r="U180" s="312"/>
      <c r="V180" s="312"/>
      <c r="W180" s="312"/>
      <c r="X180" s="312"/>
      <c r="Y180" s="312"/>
    </row>
    <row r="181" ht="18.75" spans="1:25">
      <c r="A181" s="312"/>
      <c r="B181" s="312"/>
      <c r="C181" s="312"/>
      <c r="D181" s="312"/>
      <c r="E181" s="312"/>
      <c r="F181" s="312"/>
      <c r="G181" s="312"/>
      <c r="H181" s="312"/>
      <c r="I181" s="312"/>
      <c r="J181" s="312"/>
      <c r="K181" s="312"/>
      <c r="L181" s="312"/>
      <c r="M181" s="312"/>
      <c r="N181" s="312"/>
      <c r="O181" s="312"/>
      <c r="P181" s="312"/>
      <c r="Q181" s="312"/>
      <c r="R181" s="312"/>
      <c r="S181" s="312"/>
      <c r="T181" s="312"/>
      <c r="U181" s="312"/>
      <c r="V181" s="312"/>
      <c r="W181" s="312"/>
      <c r="X181" s="312"/>
      <c r="Y181" s="312"/>
    </row>
    <row r="182" ht="18.75" spans="1:25">
      <c r="A182" s="312"/>
      <c r="B182" s="312"/>
      <c r="C182" s="312"/>
      <c r="D182" s="312"/>
      <c r="E182" s="312"/>
      <c r="F182" s="312"/>
      <c r="G182" s="312"/>
      <c r="H182" s="312"/>
      <c r="I182" s="312"/>
      <c r="J182" s="312"/>
      <c r="K182" s="312"/>
      <c r="L182" s="312"/>
      <c r="M182" s="312"/>
      <c r="N182" s="312"/>
      <c r="O182" s="312"/>
      <c r="P182" s="312"/>
      <c r="Q182" s="312"/>
      <c r="R182" s="312"/>
      <c r="S182" s="312"/>
      <c r="T182" s="312"/>
      <c r="U182" s="312"/>
      <c r="V182" s="312"/>
      <c r="W182" s="312"/>
      <c r="X182" s="312"/>
      <c r="Y182" s="312"/>
    </row>
    <row r="183" ht="18.75" spans="1:25">
      <c r="A183" s="312"/>
      <c r="B183" s="312"/>
      <c r="C183" s="312"/>
      <c r="D183" s="312"/>
      <c r="E183" s="312"/>
      <c r="F183" s="312"/>
      <c r="G183" s="312"/>
      <c r="H183" s="312"/>
      <c r="I183" s="312"/>
      <c r="J183" s="312"/>
      <c r="K183" s="312"/>
      <c r="L183" s="312"/>
      <c r="M183" s="312"/>
      <c r="N183" s="312"/>
      <c r="O183" s="312"/>
      <c r="P183" s="312"/>
      <c r="Q183" s="312"/>
      <c r="R183" s="312"/>
      <c r="S183" s="312"/>
      <c r="T183" s="312"/>
      <c r="U183" s="312"/>
      <c r="V183" s="312"/>
      <c r="W183" s="312"/>
      <c r="X183" s="312"/>
      <c r="Y183" s="312"/>
    </row>
    <row r="184" ht="18.75" spans="1:25">
      <c r="A184" s="312"/>
      <c r="B184" s="312"/>
      <c r="C184" s="312"/>
      <c r="D184" s="312"/>
      <c r="E184" s="312"/>
      <c r="F184" s="312"/>
      <c r="G184" s="312"/>
      <c r="H184" s="312"/>
      <c r="I184" s="312"/>
      <c r="J184" s="312"/>
      <c r="K184" s="312"/>
      <c r="L184" s="312"/>
      <c r="M184" s="312"/>
      <c r="N184" s="312"/>
      <c r="O184" s="312"/>
      <c r="P184" s="312"/>
      <c r="Q184" s="312"/>
      <c r="R184" s="312"/>
      <c r="S184" s="312"/>
      <c r="T184" s="312"/>
      <c r="U184" s="312"/>
      <c r="V184" s="312"/>
      <c r="W184" s="312"/>
      <c r="X184" s="312"/>
      <c r="Y184" s="312"/>
    </row>
    <row r="185" ht="18.75" spans="1:25">
      <c r="A185" s="312"/>
      <c r="B185" s="312"/>
      <c r="C185" s="312"/>
      <c r="D185" s="312"/>
      <c r="E185" s="312"/>
      <c r="F185" s="312"/>
      <c r="G185" s="312"/>
      <c r="H185" s="312"/>
      <c r="I185" s="312"/>
      <c r="J185" s="312"/>
      <c r="K185" s="312"/>
      <c r="L185" s="312"/>
      <c r="M185" s="312"/>
      <c r="N185" s="312"/>
      <c r="O185" s="312"/>
      <c r="P185" s="312"/>
      <c r="Q185" s="312"/>
      <c r="R185" s="312"/>
      <c r="S185" s="312"/>
      <c r="T185" s="312"/>
      <c r="U185" s="312"/>
      <c r="V185" s="312"/>
      <c r="W185" s="312"/>
      <c r="X185" s="312"/>
      <c r="Y185" s="312"/>
    </row>
    <row r="186" ht="18.75" spans="1:25">
      <c r="A186" s="312"/>
      <c r="B186" s="312"/>
      <c r="C186" s="312"/>
      <c r="D186" s="312"/>
      <c r="E186" s="312"/>
      <c r="F186" s="312"/>
      <c r="G186" s="312"/>
      <c r="H186" s="312"/>
      <c r="I186" s="312"/>
      <c r="J186" s="312"/>
      <c r="K186" s="312"/>
      <c r="L186" s="312"/>
      <c r="M186" s="312"/>
      <c r="N186" s="312"/>
      <c r="O186" s="312"/>
      <c r="P186" s="312"/>
      <c r="Q186" s="312"/>
      <c r="R186" s="312"/>
      <c r="S186" s="312"/>
      <c r="T186" s="312"/>
      <c r="U186" s="312"/>
      <c r="V186" s="312"/>
      <c r="W186" s="312"/>
      <c r="X186" s="312"/>
      <c r="Y186" s="312"/>
    </row>
    <row r="187" ht="18.75" spans="1:25">
      <c r="A187" s="312"/>
      <c r="B187" s="312"/>
      <c r="C187" s="312"/>
      <c r="D187" s="312"/>
      <c r="E187" s="312"/>
      <c r="F187" s="312"/>
      <c r="G187" s="312"/>
      <c r="H187" s="312"/>
      <c r="I187" s="312"/>
      <c r="J187" s="312"/>
      <c r="K187" s="312"/>
      <c r="L187" s="312"/>
      <c r="M187" s="312"/>
      <c r="N187" s="312"/>
      <c r="O187" s="312"/>
      <c r="P187" s="312"/>
      <c r="Q187" s="312"/>
      <c r="R187" s="312"/>
      <c r="S187" s="312"/>
      <c r="T187" s="312"/>
      <c r="U187" s="312"/>
      <c r="V187" s="312"/>
      <c r="W187" s="312"/>
      <c r="X187" s="312"/>
      <c r="Y187" s="312"/>
    </row>
    <row r="188" ht="18.75" spans="1:25">
      <c r="A188" s="312"/>
      <c r="B188" s="312"/>
      <c r="C188" s="312"/>
      <c r="D188" s="312"/>
      <c r="E188" s="312"/>
      <c r="F188" s="312"/>
      <c r="G188" s="312"/>
      <c r="H188" s="312"/>
      <c r="I188" s="312"/>
      <c r="J188" s="312"/>
      <c r="K188" s="312"/>
      <c r="L188" s="312"/>
      <c r="M188" s="312"/>
      <c r="N188" s="312"/>
      <c r="O188" s="312"/>
      <c r="P188" s="312"/>
      <c r="Q188" s="312"/>
      <c r="R188" s="312"/>
      <c r="S188" s="312"/>
      <c r="T188" s="312"/>
      <c r="U188" s="312"/>
      <c r="V188" s="312"/>
      <c r="W188" s="312"/>
      <c r="X188" s="312"/>
      <c r="Y188" s="312"/>
    </row>
    <row r="189" ht="18.75" spans="1:25">
      <c r="A189" s="312"/>
      <c r="B189" s="312"/>
      <c r="C189" s="312"/>
      <c r="D189" s="312"/>
      <c r="E189" s="312"/>
      <c r="F189" s="312"/>
      <c r="G189" s="312"/>
      <c r="H189" s="312"/>
      <c r="I189" s="312"/>
      <c r="J189" s="312"/>
      <c r="K189" s="312"/>
      <c r="L189" s="312"/>
      <c r="M189" s="312"/>
      <c r="N189" s="312"/>
      <c r="O189" s="312"/>
      <c r="P189" s="312"/>
      <c r="Q189" s="312"/>
      <c r="R189" s="312"/>
      <c r="S189" s="312"/>
      <c r="T189" s="312"/>
      <c r="U189" s="312"/>
      <c r="V189" s="312"/>
      <c r="W189" s="312"/>
      <c r="X189" s="312"/>
      <c r="Y189" s="312"/>
    </row>
    <row r="190" ht="18.75" spans="1:25">
      <c r="A190" s="312"/>
      <c r="B190" s="312"/>
      <c r="C190" s="312"/>
      <c r="D190" s="312"/>
      <c r="E190" s="312"/>
      <c r="F190" s="312"/>
      <c r="G190" s="312"/>
      <c r="H190" s="312"/>
      <c r="I190" s="312"/>
      <c r="J190" s="312"/>
      <c r="K190" s="312"/>
      <c r="L190" s="312"/>
      <c r="M190" s="312"/>
      <c r="N190" s="312"/>
      <c r="O190" s="312"/>
      <c r="P190" s="312"/>
      <c r="Q190" s="312"/>
      <c r="R190" s="312"/>
      <c r="S190" s="312"/>
      <c r="T190" s="312"/>
      <c r="U190" s="312"/>
      <c r="V190" s="312"/>
      <c r="W190" s="312"/>
      <c r="X190" s="312"/>
      <c r="Y190" s="312"/>
    </row>
    <row r="191" ht="18.75" spans="1:25">
      <c r="A191" s="312"/>
      <c r="B191" s="312"/>
      <c r="C191" s="312"/>
      <c r="D191" s="312"/>
      <c r="E191" s="312"/>
      <c r="F191" s="312"/>
      <c r="G191" s="312"/>
      <c r="H191" s="312"/>
      <c r="I191" s="312"/>
      <c r="J191" s="312"/>
      <c r="K191" s="312"/>
      <c r="L191" s="312"/>
      <c r="M191" s="312"/>
      <c r="N191" s="312"/>
      <c r="O191" s="312"/>
      <c r="P191" s="312"/>
      <c r="Q191" s="312"/>
      <c r="R191" s="312"/>
      <c r="S191" s="312"/>
      <c r="T191" s="312"/>
      <c r="U191" s="312"/>
      <c r="V191" s="312"/>
      <c r="W191" s="312"/>
      <c r="X191" s="312"/>
      <c r="Y191" s="312"/>
    </row>
    <row r="192" ht="18.75" spans="1:25">
      <c r="A192" s="312"/>
      <c r="B192" s="312"/>
      <c r="C192" s="312"/>
      <c r="D192" s="312"/>
      <c r="E192" s="312"/>
      <c r="F192" s="312"/>
      <c r="G192" s="312"/>
      <c r="H192" s="312"/>
      <c r="I192" s="312"/>
      <c r="J192" s="312"/>
      <c r="K192" s="312"/>
      <c r="L192" s="312"/>
      <c r="M192" s="312"/>
      <c r="N192" s="312"/>
      <c r="O192" s="312"/>
      <c r="P192" s="312"/>
      <c r="Q192" s="312"/>
      <c r="R192" s="312"/>
      <c r="S192" s="312"/>
      <c r="T192" s="312"/>
      <c r="U192" s="312"/>
      <c r="V192" s="312"/>
      <c r="W192" s="312"/>
      <c r="X192" s="312"/>
      <c r="Y192" s="312"/>
    </row>
    <row r="193" ht="18.75" spans="1:25">
      <c r="A193" s="312"/>
      <c r="B193" s="312"/>
      <c r="C193" s="312"/>
      <c r="D193" s="312"/>
      <c r="E193" s="312"/>
      <c r="F193" s="312"/>
      <c r="G193" s="312"/>
      <c r="H193" s="312"/>
      <c r="I193" s="312"/>
      <c r="J193" s="312"/>
      <c r="K193" s="312"/>
      <c r="L193" s="312"/>
      <c r="M193" s="312"/>
      <c r="N193" s="312"/>
      <c r="O193" s="312"/>
      <c r="P193" s="312"/>
      <c r="Q193" s="312"/>
      <c r="R193" s="312"/>
      <c r="S193" s="312"/>
      <c r="T193" s="312"/>
      <c r="U193" s="312"/>
      <c r="V193" s="312"/>
      <c r="W193" s="312"/>
      <c r="X193" s="312"/>
      <c r="Y193" s="312"/>
    </row>
    <row r="194" ht="18.75" spans="1:25">
      <c r="A194" s="312"/>
      <c r="B194" s="312"/>
      <c r="C194" s="312"/>
      <c r="D194" s="312"/>
      <c r="E194" s="312"/>
      <c r="F194" s="312"/>
      <c r="G194" s="312"/>
      <c r="H194" s="312"/>
      <c r="I194" s="312"/>
      <c r="J194" s="312"/>
      <c r="K194" s="312"/>
      <c r="L194" s="312"/>
      <c r="M194" s="312"/>
      <c r="N194" s="312"/>
      <c r="O194" s="312"/>
      <c r="P194" s="312"/>
      <c r="Q194" s="312"/>
      <c r="R194" s="312"/>
      <c r="S194" s="312"/>
      <c r="T194" s="312"/>
      <c r="U194" s="312"/>
      <c r="V194" s="312"/>
      <c r="W194" s="312"/>
      <c r="X194" s="312"/>
      <c r="Y194" s="312"/>
    </row>
    <row r="195" ht="18.75" spans="1:25">
      <c r="A195" s="312"/>
      <c r="B195" s="312"/>
      <c r="C195" s="312"/>
      <c r="D195" s="312"/>
      <c r="E195" s="312"/>
      <c r="F195" s="312"/>
      <c r="G195" s="312"/>
      <c r="H195" s="312"/>
      <c r="I195" s="312"/>
      <c r="J195" s="312"/>
      <c r="K195" s="312"/>
      <c r="L195" s="312"/>
      <c r="M195" s="312"/>
      <c r="N195" s="312"/>
      <c r="O195" s="312"/>
      <c r="P195" s="312"/>
      <c r="Q195" s="312"/>
      <c r="R195" s="312"/>
      <c r="S195" s="312"/>
      <c r="T195" s="312"/>
      <c r="U195" s="312"/>
      <c r="V195" s="312"/>
      <c r="W195" s="312"/>
      <c r="X195" s="312"/>
      <c r="Y195" s="312"/>
    </row>
    <row r="196" ht="18.75" spans="1:25">
      <c r="A196" s="312"/>
      <c r="B196" s="312"/>
      <c r="C196" s="312"/>
      <c r="D196" s="312"/>
      <c r="E196" s="312"/>
      <c r="F196" s="312"/>
      <c r="G196" s="312"/>
      <c r="H196" s="312"/>
      <c r="I196" s="312"/>
      <c r="J196" s="312"/>
      <c r="K196" s="312"/>
      <c r="L196" s="312"/>
      <c r="M196" s="312"/>
      <c r="N196" s="312"/>
      <c r="O196" s="312"/>
      <c r="P196" s="312"/>
      <c r="Q196" s="312"/>
      <c r="R196" s="312"/>
      <c r="S196" s="312"/>
      <c r="T196" s="312"/>
      <c r="U196" s="312"/>
      <c r="V196" s="312"/>
      <c r="W196" s="312"/>
      <c r="X196" s="312"/>
      <c r="Y196" s="312"/>
    </row>
    <row r="197" ht="18.75" spans="1:25">
      <c r="A197" s="312"/>
      <c r="B197" s="312"/>
      <c r="C197" s="312"/>
      <c r="D197" s="312"/>
      <c r="E197" s="312"/>
      <c r="F197" s="312"/>
      <c r="G197" s="312"/>
      <c r="H197" s="312"/>
      <c r="I197" s="312"/>
      <c r="J197" s="312"/>
      <c r="K197" s="312"/>
      <c r="L197" s="312"/>
      <c r="M197" s="312"/>
      <c r="N197" s="312"/>
      <c r="O197" s="312"/>
      <c r="P197" s="312"/>
      <c r="Q197" s="312"/>
      <c r="R197" s="312"/>
      <c r="S197" s="312"/>
      <c r="T197" s="312"/>
      <c r="U197" s="312"/>
      <c r="V197" s="312"/>
      <c r="W197" s="312"/>
      <c r="X197" s="312"/>
      <c r="Y197" s="312"/>
    </row>
    <row r="198" ht="18.75" spans="1:25">
      <c r="A198" s="312"/>
      <c r="B198" s="312"/>
      <c r="C198" s="312"/>
      <c r="D198" s="312"/>
      <c r="E198" s="312"/>
      <c r="F198" s="312"/>
      <c r="G198" s="312"/>
      <c r="H198" s="312"/>
      <c r="I198" s="312"/>
      <c r="J198" s="312"/>
      <c r="K198" s="312"/>
      <c r="L198" s="312"/>
      <c r="M198" s="312"/>
      <c r="N198" s="312"/>
      <c r="O198" s="312"/>
      <c r="P198" s="312"/>
      <c r="Q198" s="312"/>
      <c r="R198" s="312"/>
      <c r="S198" s="312"/>
      <c r="T198" s="312"/>
      <c r="U198" s="312"/>
      <c r="V198" s="312"/>
      <c r="W198" s="312"/>
      <c r="X198" s="312"/>
      <c r="Y198" s="312"/>
    </row>
    <row r="199" ht="18.75" spans="1:25">
      <c r="A199" s="312"/>
      <c r="B199" s="312"/>
      <c r="C199" s="312"/>
      <c r="D199" s="312"/>
      <c r="E199" s="312"/>
      <c r="F199" s="312"/>
      <c r="G199" s="312"/>
      <c r="H199" s="312"/>
      <c r="I199" s="312"/>
      <c r="J199" s="312"/>
      <c r="K199" s="312"/>
      <c r="L199" s="312"/>
      <c r="M199" s="312"/>
      <c r="N199" s="312"/>
      <c r="O199" s="312"/>
      <c r="P199" s="312"/>
      <c r="Q199" s="312"/>
      <c r="R199" s="312"/>
      <c r="S199" s="312"/>
      <c r="T199" s="312"/>
      <c r="U199" s="312"/>
      <c r="V199" s="312"/>
      <c r="W199" s="312"/>
      <c r="X199" s="312"/>
      <c r="Y199" s="312"/>
    </row>
    <row r="200" ht="18.75" spans="1:25">
      <c r="A200" s="312"/>
      <c r="B200" s="312"/>
      <c r="C200" s="312"/>
      <c r="D200" s="312"/>
      <c r="E200" s="312"/>
      <c r="F200" s="312"/>
      <c r="G200" s="312"/>
      <c r="H200" s="312"/>
      <c r="I200" s="312"/>
      <c r="J200" s="312"/>
      <c r="K200" s="312"/>
      <c r="L200" s="312"/>
      <c r="M200" s="312"/>
      <c r="N200" s="312"/>
      <c r="O200" s="312"/>
      <c r="P200" s="312"/>
      <c r="Q200" s="312"/>
      <c r="R200" s="312"/>
      <c r="S200" s="312"/>
      <c r="T200" s="312"/>
      <c r="U200" s="312"/>
      <c r="V200" s="312"/>
      <c r="W200" s="312"/>
      <c r="X200" s="312"/>
      <c r="Y200" s="312"/>
    </row>
    <row r="201" ht="18.75" spans="1:25">
      <c r="A201" s="312"/>
      <c r="B201" s="312"/>
      <c r="C201" s="312"/>
      <c r="D201" s="312"/>
      <c r="E201" s="312"/>
      <c r="F201" s="312"/>
      <c r="G201" s="312"/>
      <c r="H201" s="312"/>
      <c r="I201" s="312"/>
      <c r="J201" s="312"/>
      <c r="K201" s="312"/>
      <c r="L201" s="312"/>
      <c r="M201" s="312"/>
      <c r="N201" s="312"/>
      <c r="O201" s="312"/>
      <c r="P201" s="312"/>
      <c r="Q201" s="312"/>
      <c r="R201" s="312"/>
      <c r="S201" s="312"/>
      <c r="T201" s="312"/>
      <c r="U201" s="312"/>
      <c r="V201" s="312"/>
      <c r="W201" s="312"/>
      <c r="X201" s="312"/>
      <c r="Y201" s="312"/>
    </row>
    <row r="202" ht="18.75" spans="1:25">
      <c r="A202" s="312"/>
      <c r="B202" s="312"/>
      <c r="C202" s="312"/>
      <c r="D202" s="312"/>
      <c r="E202" s="312"/>
      <c r="F202" s="312"/>
      <c r="G202" s="312"/>
      <c r="H202" s="312"/>
      <c r="I202" s="312"/>
      <c r="J202" s="312"/>
      <c r="K202" s="312"/>
      <c r="L202" s="312"/>
      <c r="M202" s="312"/>
      <c r="N202" s="312"/>
      <c r="O202" s="312"/>
      <c r="P202" s="312"/>
      <c r="Q202" s="312"/>
      <c r="R202" s="312"/>
      <c r="S202" s="312"/>
      <c r="T202" s="312"/>
      <c r="U202" s="312"/>
      <c r="V202" s="312"/>
      <c r="W202" s="312"/>
      <c r="X202" s="312"/>
      <c r="Y202" s="312"/>
    </row>
    <row r="203" ht="18.75" spans="1:25">
      <c r="A203" s="312"/>
      <c r="B203" s="312"/>
      <c r="C203" s="312"/>
      <c r="D203" s="312"/>
      <c r="E203" s="312"/>
      <c r="F203" s="312"/>
      <c r="G203" s="312"/>
      <c r="H203" s="312"/>
      <c r="I203" s="312"/>
      <c r="J203" s="312"/>
      <c r="K203" s="312"/>
      <c r="L203" s="312"/>
      <c r="M203" s="312"/>
      <c r="N203" s="312"/>
      <c r="O203" s="312"/>
      <c r="P203" s="312"/>
      <c r="Q203" s="312"/>
      <c r="R203" s="312"/>
      <c r="S203" s="312"/>
      <c r="T203" s="312"/>
      <c r="U203" s="312"/>
      <c r="V203" s="312"/>
      <c r="W203" s="312"/>
      <c r="X203" s="312"/>
      <c r="Y203" s="312"/>
    </row>
    <row r="204" ht="18.75" spans="1:25">
      <c r="A204" s="312"/>
      <c r="B204" s="312"/>
      <c r="C204" s="312"/>
      <c r="D204" s="312"/>
      <c r="E204" s="312"/>
      <c r="F204" s="312"/>
      <c r="G204" s="312"/>
      <c r="H204" s="312"/>
      <c r="I204" s="312"/>
      <c r="J204" s="312"/>
      <c r="K204" s="312"/>
      <c r="L204" s="312"/>
      <c r="M204" s="312"/>
      <c r="N204" s="312"/>
      <c r="O204" s="312"/>
      <c r="P204" s="312"/>
      <c r="Q204" s="312"/>
      <c r="R204" s="312"/>
      <c r="S204" s="312"/>
      <c r="T204" s="312"/>
      <c r="U204" s="312"/>
      <c r="V204" s="312"/>
      <c r="W204" s="312"/>
      <c r="X204" s="312"/>
      <c r="Y204" s="312"/>
    </row>
    <row r="205" ht="18.75" spans="1:25">
      <c r="A205" s="312"/>
      <c r="B205" s="312"/>
      <c r="C205" s="312"/>
      <c r="D205" s="312"/>
      <c r="E205" s="312"/>
      <c r="F205" s="312"/>
      <c r="G205" s="312"/>
      <c r="H205" s="312"/>
      <c r="I205" s="312"/>
      <c r="J205" s="312"/>
      <c r="K205" s="312"/>
      <c r="L205" s="312"/>
      <c r="M205" s="312"/>
      <c r="N205" s="312"/>
      <c r="O205" s="312"/>
      <c r="P205" s="312"/>
      <c r="Q205" s="312"/>
      <c r="R205" s="312"/>
      <c r="S205" s="312"/>
      <c r="T205" s="312"/>
      <c r="U205" s="312"/>
      <c r="V205" s="312"/>
      <c r="W205" s="312"/>
      <c r="X205" s="312"/>
      <c r="Y205" s="312"/>
    </row>
    <row r="206" ht="18.75" spans="1:25">
      <c r="A206" s="312"/>
      <c r="B206" s="312"/>
      <c r="C206" s="312"/>
      <c r="D206" s="312"/>
      <c r="E206" s="312"/>
      <c r="F206" s="312"/>
      <c r="G206" s="312"/>
      <c r="H206" s="312"/>
      <c r="I206" s="312"/>
      <c r="J206" s="312"/>
      <c r="K206" s="312"/>
      <c r="L206" s="312"/>
      <c r="M206" s="312"/>
      <c r="N206" s="312"/>
      <c r="O206" s="312"/>
      <c r="P206" s="312"/>
      <c r="Q206" s="312"/>
      <c r="R206" s="312"/>
      <c r="S206" s="312"/>
      <c r="T206" s="312"/>
      <c r="U206" s="312"/>
      <c r="V206" s="312"/>
      <c r="W206" s="312"/>
      <c r="X206" s="312"/>
      <c r="Y206" s="312"/>
    </row>
    <row r="207" ht="18.75" spans="1:25">
      <c r="A207" s="312"/>
      <c r="B207" s="312"/>
      <c r="C207" s="312"/>
      <c r="D207" s="312"/>
      <c r="E207" s="312"/>
      <c r="F207" s="312"/>
      <c r="G207" s="312"/>
      <c r="H207" s="312"/>
      <c r="I207" s="312"/>
      <c r="J207" s="312"/>
      <c r="K207" s="312"/>
      <c r="L207" s="312"/>
      <c r="M207" s="312"/>
      <c r="N207" s="312"/>
      <c r="O207" s="312"/>
      <c r="P207" s="312"/>
      <c r="Q207" s="312"/>
      <c r="R207" s="312"/>
      <c r="S207" s="312"/>
      <c r="T207" s="312"/>
      <c r="U207" s="312"/>
      <c r="V207" s="312"/>
      <c r="W207" s="312"/>
      <c r="X207" s="312"/>
      <c r="Y207" s="312"/>
    </row>
    <row r="208" ht="18.75" spans="1:25">
      <c r="A208" s="312"/>
      <c r="B208" s="312"/>
      <c r="C208" s="312"/>
      <c r="D208" s="312"/>
      <c r="E208" s="312"/>
      <c r="F208" s="312"/>
      <c r="G208" s="312"/>
      <c r="H208" s="312"/>
      <c r="I208" s="312"/>
      <c r="J208" s="312"/>
      <c r="K208" s="312"/>
      <c r="L208" s="312"/>
      <c r="M208" s="312"/>
      <c r="N208" s="312"/>
      <c r="O208" s="312"/>
      <c r="P208" s="312"/>
      <c r="Q208" s="312"/>
      <c r="R208" s="312"/>
      <c r="S208" s="312"/>
      <c r="T208" s="312"/>
      <c r="U208" s="312"/>
      <c r="V208" s="312"/>
      <c r="W208" s="312"/>
      <c r="X208" s="312"/>
      <c r="Y208" s="312"/>
    </row>
  </sheetData>
  <mergeCells count="45">
    <mergeCell ref="I1:T1"/>
    <mergeCell ref="I2:T2"/>
    <mergeCell ref="C7:F7"/>
    <mergeCell ref="G7:J7"/>
    <mergeCell ref="K7:O7"/>
    <mergeCell ref="P7:S7"/>
    <mergeCell ref="T7:X7"/>
    <mergeCell ref="Y7:Z7"/>
    <mergeCell ref="AC11:AD11"/>
    <mergeCell ref="AC12:AF12"/>
    <mergeCell ref="AC13:AF13"/>
    <mergeCell ref="AC14:AF14"/>
    <mergeCell ref="A22:B22"/>
    <mergeCell ref="C22:Z22"/>
    <mergeCell ref="G24:J24"/>
    <mergeCell ref="B26:D26"/>
    <mergeCell ref="B27:D27"/>
    <mergeCell ref="B28:D28"/>
    <mergeCell ref="L28:P28"/>
    <mergeCell ref="B29:D29"/>
    <mergeCell ref="B30:D30"/>
    <mergeCell ref="B31:D31"/>
    <mergeCell ref="B32:D32"/>
    <mergeCell ref="B33:D33"/>
    <mergeCell ref="B34:D34"/>
    <mergeCell ref="B35:D35"/>
    <mergeCell ref="L35:P35"/>
    <mergeCell ref="B36:D36"/>
    <mergeCell ref="A37:E37"/>
    <mergeCell ref="A7:A9"/>
    <mergeCell ref="A10:A11"/>
    <mergeCell ref="A12:A13"/>
    <mergeCell ref="A14:A15"/>
    <mergeCell ref="A16:A17"/>
    <mergeCell ref="A18:A19"/>
    <mergeCell ref="A24:A25"/>
    <mergeCell ref="E24:E25"/>
    <mergeCell ref="F24:F25"/>
    <mergeCell ref="K10:K11"/>
    <mergeCell ref="K16:K17"/>
    <mergeCell ref="K18:K19"/>
    <mergeCell ref="K24:K25"/>
    <mergeCell ref="A1:H2"/>
    <mergeCell ref="W10:Z19"/>
    <mergeCell ref="B24:D25"/>
  </mergeCells>
  <pageMargins left="0.47" right="0.7" top="0.27" bottom="0.25" header="0.3" footer="0.2"/>
  <pageSetup paperSize="8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08"/>
  <sheetViews>
    <sheetView tabSelected="1" zoomScale="85" zoomScaleNormal="85" workbookViewId="0">
      <selection activeCell="E16" sqref="E16"/>
    </sheetView>
  </sheetViews>
  <sheetFormatPr defaultColWidth="9.1047619047619" defaultRowHeight="15"/>
  <cols>
    <col min="1" max="1" width="14.1047619047619" style="2" customWidth="1"/>
    <col min="2" max="2" width="11.6666666666667" style="2" customWidth="1"/>
    <col min="3" max="26" width="10.6666666666667" style="2" customWidth="1"/>
    <col min="27" max="16384" width="9.1047619047619" style="2"/>
  </cols>
  <sheetData>
    <row r="1" ht="57" customHeight="1" spans="1:33">
      <c r="A1" s="3" t="s">
        <v>0</v>
      </c>
      <c r="B1" s="3"/>
      <c r="C1" s="3"/>
      <c r="D1" s="3"/>
      <c r="E1" s="3"/>
      <c r="F1" s="3"/>
      <c r="G1" s="3"/>
      <c r="H1" s="3"/>
      <c r="I1" s="4" t="s">
        <v>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5"/>
      <c r="W1" s="6" t="s">
        <v>2</v>
      </c>
      <c r="X1" s="6" t="s">
        <v>169</v>
      </c>
    </row>
    <row r="2" ht="25.5" customHeight="1" spans="1:33">
      <c r="A2" s="3"/>
      <c r="B2" s="3"/>
      <c r="C2" s="3"/>
      <c r="D2" s="3"/>
      <c r="E2" s="3"/>
      <c r="F2" s="3"/>
      <c r="G2" s="3"/>
      <c r="H2" s="3"/>
      <c r="I2" s="7" t="s">
        <v>4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8"/>
      <c r="W2" s="9" t="s">
        <v>170</v>
      </c>
    </row>
    <row r="3" ht="20.25" spans="1:33">
      <c r="W3" s="10" t="s">
        <v>171</v>
      </c>
      <c r="Y3" s="10" t="s">
        <v>7</v>
      </c>
    </row>
    <row r="4" ht="20.25" spans="1:33">
      <c r="W4" s="10" t="s">
        <v>172</v>
      </c>
    </row>
    <row r="5" ht="25.5" customHeight="1" spans="1:33">
      <c r="H5" s="11"/>
      <c r="J5" s="12" t="s">
        <v>9</v>
      </c>
      <c r="W5" s="10" t="s">
        <v>173</v>
      </c>
    </row>
    <row r="6" ht="15.75"/>
    <row r="7" ht="24.75" customHeight="1" spans="1:33">
      <c r="A7" s="13" t="s">
        <v>11</v>
      </c>
      <c r="B7" s="14" t="s">
        <v>12</v>
      </c>
      <c r="C7" s="15">
        <v>3</v>
      </c>
      <c r="D7" s="16"/>
      <c r="E7" s="16"/>
      <c r="F7" s="17"/>
      <c r="G7" s="15">
        <v>4</v>
      </c>
      <c r="H7" s="16"/>
      <c r="I7" s="16"/>
      <c r="J7" s="17"/>
      <c r="K7" s="15">
        <v>5</v>
      </c>
      <c r="L7" s="16"/>
      <c r="M7" s="16"/>
      <c r="N7" s="16"/>
      <c r="O7" s="17"/>
      <c r="P7" s="15">
        <v>6</v>
      </c>
      <c r="Q7" s="16"/>
      <c r="R7" s="16"/>
      <c r="S7" s="17"/>
      <c r="T7" s="18" t="s">
        <v>13</v>
      </c>
      <c r="U7" s="19"/>
      <c r="V7" s="19"/>
      <c r="W7" s="19"/>
      <c r="X7" s="20"/>
      <c r="Y7" s="15">
        <v>8</v>
      </c>
      <c r="Z7" s="17"/>
    </row>
    <row r="8" ht="19.5" customHeight="1" spans="1:33">
      <c r="A8" s="21"/>
      <c r="B8" s="22" t="s">
        <v>174</v>
      </c>
      <c r="C8" s="23">
        <v>1</v>
      </c>
      <c r="D8" s="24">
        <v>2</v>
      </c>
      <c r="E8" s="24">
        <v>3</v>
      </c>
      <c r="F8" s="25">
        <v>4</v>
      </c>
      <c r="G8" s="23">
        <v>5</v>
      </c>
      <c r="H8" s="24">
        <v>6</v>
      </c>
      <c r="I8" s="24">
        <v>7</v>
      </c>
      <c r="J8" s="25">
        <v>8</v>
      </c>
      <c r="K8" s="23">
        <v>9</v>
      </c>
      <c r="L8" s="24">
        <v>10</v>
      </c>
      <c r="M8" s="24">
        <v>11</v>
      </c>
      <c r="N8" s="24">
        <v>12</v>
      </c>
      <c r="O8" s="25">
        <v>13</v>
      </c>
      <c r="P8" s="23">
        <v>14</v>
      </c>
      <c r="Q8" s="24">
        <v>15</v>
      </c>
      <c r="R8" s="24">
        <v>16</v>
      </c>
      <c r="S8" s="25">
        <v>17</v>
      </c>
      <c r="T8" s="23">
        <v>18</v>
      </c>
      <c r="U8" s="24">
        <v>19</v>
      </c>
      <c r="V8" s="24">
        <v>20</v>
      </c>
      <c r="W8" s="24">
        <v>21</v>
      </c>
      <c r="X8" s="25">
        <v>22</v>
      </c>
      <c r="Y8" s="23">
        <v>23</v>
      </c>
      <c r="Z8" s="26">
        <v>24</v>
      </c>
    </row>
    <row r="9" ht="33" customHeight="1" spans="1:33">
      <c r="A9" s="27"/>
      <c r="B9" s="28" t="s">
        <v>15</v>
      </c>
      <c r="C9" s="29" t="s">
        <v>16</v>
      </c>
      <c r="D9" s="30" t="s">
        <v>175</v>
      </c>
      <c r="E9" s="30" t="s">
        <v>18</v>
      </c>
      <c r="F9" s="31" t="s">
        <v>19</v>
      </c>
      <c r="G9" s="29" t="s">
        <v>20</v>
      </c>
      <c r="H9" s="30" t="s">
        <v>21</v>
      </c>
      <c r="I9" s="30" t="s">
        <v>22</v>
      </c>
      <c r="J9" s="31" t="s">
        <v>23</v>
      </c>
      <c r="K9" s="29" t="s">
        <v>24</v>
      </c>
      <c r="L9" s="30" t="s">
        <v>176</v>
      </c>
      <c r="M9" s="30" t="s">
        <v>26</v>
      </c>
      <c r="N9" s="30" t="s">
        <v>27</v>
      </c>
      <c r="O9" s="31" t="s">
        <v>28</v>
      </c>
      <c r="P9" s="29" t="s">
        <v>29</v>
      </c>
      <c r="Q9" s="30" t="s">
        <v>30</v>
      </c>
      <c r="R9" s="30" t="s">
        <v>177</v>
      </c>
      <c r="S9" s="31" t="s">
        <v>32</v>
      </c>
      <c r="T9" s="29" t="s">
        <v>33</v>
      </c>
      <c r="U9" s="30" t="s">
        <v>34</v>
      </c>
      <c r="V9" s="30" t="s">
        <v>35</v>
      </c>
      <c r="W9" s="30" t="s">
        <v>23</v>
      </c>
      <c r="X9" s="31" t="s">
        <v>36</v>
      </c>
      <c r="Y9" s="29" t="s">
        <v>37</v>
      </c>
      <c r="Z9" s="32" t="s">
        <v>38</v>
      </c>
    </row>
    <row r="10" ht="39.9" customHeight="1" spans="1:33">
      <c r="A10" s="13">
        <v>2</v>
      </c>
      <c r="B10" s="33" t="s">
        <v>39</v>
      </c>
      <c r="C10" s="74"/>
      <c r="D10" s="41"/>
      <c r="E10" s="41"/>
      <c r="F10" s="42"/>
      <c r="G10" s="314"/>
      <c r="H10" s="75"/>
      <c r="I10" s="75"/>
      <c r="J10" s="76"/>
      <c r="K10" s="39" t="s">
        <v>41</v>
      </c>
      <c r="L10" s="315"/>
      <c r="M10" s="315"/>
      <c r="N10" s="316"/>
      <c r="O10" s="38"/>
      <c r="P10" s="317"/>
      <c r="Q10" s="318"/>
      <c r="R10" s="318"/>
      <c r="S10" s="319"/>
      <c r="T10" s="317"/>
      <c r="U10" s="100" t="s">
        <v>178</v>
      </c>
      <c r="V10" s="320"/>
      <c r="W10" s="49" t="s">
        <v>44</v>
      </c>
      <c r="X10" s="49"/>
      <c r="Y10" s="49"/>
      <c r="Z10" s="50"/>
      <c r="AC10" s="51"/>
      <c r="AD10" s="52"/>
    </row>
    <row r="11" ht="39.9" customHeight="1" spans="1:33">
      <c r="A11" s="53"/>
      <c r="B11" s="54" t="s">
        <v>45</v>
      </c>
      <c r="C11" s="321"/>
      <c r="D11" s="322"/>
      <c r="E11" s="322"/>
      <c r="F11" s="323"/>
      <c r="G11" s="321"/>
      <c r="H11" s="324"/>
      <c r="I11" s="59"/>
      <c r="J11" s="116"/>
      <c r="K11" s="58"/>
      <c r="L11" s="325"/>
      <c r="M11" s="326"/>
      <c r="N11" s="327"/>
      <c r="O11" s="328"/>
      <c r="P11" s="329"/>
      <c r="Q11" s="327"/>
      <c r="R11" s="64"/>
      <c r="S11" s="65"/>
      <c r="T11" s="330"/>
      <c r="U11" s="331"/>
      <c r="V11" s="68" t="s">
        <v>179</v>
      </c>
      <c r="W11" s="49"/>
      <c r="X11" s="49"/>
      <c r="Y11" s="49"/>
      <c r="Z11" s="50"/>
      <c r="AC11" s="69"/>
      <c r="AD11" s="69"/>
    </row>
    <row r="12" ht="39.9" customHeight="1" spans="1:33">
      <c r="A12" s="70">
        <v>3</v>
      </c>
      <c r="B12" s="33" t="s">
        <v>39</v>
      </c>
      <c r="C12" s="332"/>
      <c r="D12" s="333"/>
      <c r="E12" s="333"/>
      <c r="F12" s="334"/>
      <c r="G12" s="335"/>
      <c r="H12" s="333"/>
      <c r="I12" s="336"/>
      <c r="J12" s="91"/>
      <c r="K12" s="77" t="s">
        <v>142</v>
      </c>
      <c r="L12" s="337"/>
      <c r="M12" s="338"/>
      <c r="N12" s="338"/>
      <c r="O12" s="339"/>
      <c r="P12" s="340"/>
      <c r="Q12" s="341"/>
      <c r="R12" s="341"/>
      <c r="S12" s="342"/>
      <c r="T12" s="343"/>
      <c r="U12" s="100" t="s">
        <v>180</v>
      </c>
      <c r="V12" s="344"/>
      <c r="W12" s="49"/>
      <c r="X12" s="49"/>
      <c r="Y12" s="49"/>
      <c r="Z12" s="50"/>
      <c r="AC12" s="84"/>
      <c r="AD12" s="84"/>
      <c r="AE12" s="84"/>
      <c r="AF12" s="84"/>
    </row>
    <row r="13" ht="39.9" customHeight="1" spans="1:33">
      <c r="A13" s="53"/>
      <c r="B13" s="54" t="s">
        <v>45</v>
      </c>
      <c r="C13" s="55"/>
      <c r="D13" s="56"/>
      <c r="E13" s="56"/>
      <c r="F13" s="57"/>
      <c r="G13" s="345"/>
      <c r="H13" s="346"/>
      <c r="I13" s="347"/>
      <c r="J13" s="347"/>
      <c r="K13" s="92" t="s">
        <v>181</v>
      </c>
      <c r="L13" s="348"/>
      <c r="M13" s="348"/>
      <c r="N13" s="348"/>
      <c r="O13" s="349"/>
      <c r="P13" s="350"/>
      <c r="Q13" s="348"/>
      <c r="R13" s="348"/>
      <c r="S13" s="351"/>
      <c r="T13" s="352"/>
      <c r="U13" s="94"/>
      <c r="V13" s="94"/>
      <c r="W13" s="49"/>
      <c r="X13" s="49"/>
      <c r="Y13" s="49"/>
      <c r="Z13" s="50"/>
      <c r="AC13" s="102">
        <f>27/4</f>
        <v>6.75</v>
      </c>
      <c r="AD13" s="102"/>
      <c r="AE13" s="102"/>
      <c r="AF13" s="102"/>
      <c r="AG13" s="103">
        <f>6</f>
        <v>6</v>
      </c>
    </row>
    <row r="14" ht="39.9" customHeight="1" spans="1:33">
      <c r="A14" s="70">
        <v>4</v>
      </c>
      <c r="B14" s="33" t="s">
        <v>39</v>
      </c>
      <c r="C14" s="71"/>
      <c r="D14" s="72"/>
      <c r="E14" s="72"/>
      <c r="F14" s="73"/>
      <c r="G14" s="314"/>
      <c r="H14" s="75"/>
      <c r="I14" s="75"/>
      <c r="J14" s="76"/>
      <c r="K14" s="353"/>
      <c r="L14" s="315"/>
      <c r="M14" s="316"/>
      <c r="N14" s="354"/>
      <c r="O14" s="355"/>
      <c r="P14" s="317"/>
      <c r="Q14" s="318"/>
      <c r="R14" s="110" t="s">
        <v>182</v>
      </c>
      <c r="S14" s="356"/>
      <c r="T14" s="357" t="s">
        <v>183</v>
      </c>
      <c r="U14" s="320"/>
      <c r="V14" s="320"/>
      <c r="W14" s="49"/>
      <c r="X14" s="49"/>
      <c r="Y14" s="49"/>
      <c r="Z14" s="50"/>
      <c r="AC14" s="102">
        <f>15/4</f>
        <v>3.75</v>
      </c>
      <c r="AD14" s="102"/>
      <c r="AE14" s="102"/>
      <c r="AF14" s="102"/>
      <c r="AG14" s="358">
        <f>AC14*2</f>
        <v>7.5</v>
      </c>
    </row>
    <row r="15" ht="39.9" customHeight="1" spans="1:33">
      <c r="A15" s="53"/>
      <c r="B15" s="54" t="s">
        <v>45</v>
      </c>
      <c r="C15" s="321"/>
      <c r="D15" s="322"/>
      <c r="E15" s="322"/>
      <c r="F15" s="323"/>
      <c r="G15" s="359"/>
      <c r="H15" s="94"/>
      <c r="I15" s="59"/>
      <c r="J15" s="360"/>
      <c r="K15" s="361"/>
      <c r="L15" s="362"/>
      <c r="M15" s="363"/>
      <c r="N15" s="364"/>
      <c r="O15" s="365"/>
      <c r="P15" s="366"/>
      <c r="Q15" s="363"/>
      <c r="R15" s="126"/>
      <c r="S15" s="127" t="s">
        <v>184</v>
      </c>
      <c r="T15" s="367"/>
      <c r="U15" s="368"/>
      <c r="V15" s="94"/>
      <c r="W15" s="49"/>
      <c r="X15" s="49"/>
      <c r="Y15" s="49"/>
      <c r="Z15" s="50"/>
      <c r="AG15" s="103">
        <f>SUM(AG13:AG14)</f>
        <v>13.5</v>
      </c>
    </row>
    <row r="16" ht="39.9" customHeight="1" spans="1:33">
      <c r="A16" s="70">
        <v>5</v>
      </c>
      <c r="B16" s="33" t="s">
        <v>39</v>
      </c>
      <c r="C16" s="369"/>
      <c r="D16" s="333"/>
      <c r="E16" s="333"/>
      <c r="F16" s="334"/>
      <c r="G16" s="131" t="s">
        <v>53</v>
      </c>
      <c r="H16" s="333"/>
      <c r="I16" s="370"/>
      <c r="J16" s="77" t="s">
        <v>145</v>
      </c>
      <c r="K16" s="133" t="s">
        <v>54</v>
      </c>
      <c r="L16" s="134" t="s">
        <v>53</v>
      </c>
      <c r="M16" s="371"/>
      <c r="N16" s="371"/>
      <c r="O16" s="372"/>
      <c r="P16" s="137" t="s">
        <v>185</v>
      </c>
      <c r="Q16" s="373"/>
      <c r="R16" s="374"/>
      <c r="S16" s="375"/>
      <c r="T16" s="376"/>
      <c r="U16" s="377" t="s">
        <v>186</v>
      </c>
      <c r="V16" s="141" t="s">
        <v>187</v>
      </c>
      <c r="W16" s="49"/>
      <c r="X16" s="49"/>
      <c r="Y16" s="49"/>
      <c r="Z16" s="50"/>
    </row>
    <row r="17" ht="36.75" customHeight="1" spans="1:31">
      <c r="A17" s="53"/>
      <c r="B17" s="54" t="s">
        <v>45</v>
      </c>
      <c r="C17" s="55"/>
      <c r="D17" s="56"/>
      <c r="E17" s="56"/>
      <c r="F17" s="57"/>
      <c r="G17" s="378"/>
      <c r="H17" s="379"/>
      <c r="I17" s="346"/>
      <c r="J17" s="380"/>
      <c r="K17" s="145"/>
      <c r="L17" s="346"/>
      <c r="M17" s="56"/>
      <c r="N17" s="381"/>
      <c r="O17" s="351"/>
      <c r="P17" s="382"/>
      <c r="Q17" s="56"/>
      <c r="R17" s="56"/>
      <c r="S17" s="77"/>
      <c r="T17" s="383"/>
      <c r="U17" s="155"/>
      <c r="V17" s="155"/>
      <c r="W17" s="49"/>
      <c r="X17" s="49"/>
      <c r="Y17" s="49"/>
      <c r="Z17" s="50"/>
      <c r="AE17" s="156"/>
    </row>
    <row r="18" ht="42" customHeight="1" spans="1:31">
      <c r="A18" s="70">
        <v>6</v>
      </c>
      <c r="B18" s="33" t="s">
        <v>39</v>
      </c>
      <c r="C18" s="71"/>
      <c r="D18" s="72"/>
      <c r="E18" s="72"/>
      <c r="F18" s="73"/>
      <c r="G18" s="384"/>
      <c r="H18" s="157" t="s">
        <v>188</v>
      </c>
      <c r="I18" s="158" t="s">
        <v>189</v>
      </c>
      <c r="J18" s="42" t="s">
        <v>190</v>
      </c>
      <c r="K18" s="160" t="s">
        <v>61</v>
      </c>
      <c r="L18" s="315"/>
      <c r="M18" s="385"/>
      <c r="N18" s="386"/>
      <c r="O18" s="387"/>
      <c r="P18" s="388"/>
      <c r="Q18" s="163" t="s">
        <v>191</v>
      </c>
      <c r="R18" s="126"/>
      <c r="S18" s="126"/>
      <c r="T18" s="319"/>
      <c r="U18" s="344"/>
      <c r="V18" s="344"/>
      <c r="W18" s="49"/>
      <c r="X18" s="49"/>
      <c r="Y18" s="49"/>
      <c r="Z18" s="50"/>
    </row>
    <row r="19" ht="38.25" customHeight="1" spans="1:31">
      <c r="A19" s="27"/>
      <c r="B19" s="168" t="s">
        <v>45</v>
      </c>
      <c r="C19" s="389"/>
      <c r="D19" s="390"/>
      <c r="E19" s="391"/>
      <c r="F19" s="392"/>
      <c r="G19" s="389"/>
      <c r="H19" s="175"/>
      <c r="I19" s="393"/>
      <c r="J19" s="38"/>
      <c r="K19" s="174"/>
      <c r="L19" s="394"/>
      <c r="M19" s="395"/>
      <c r="N19" s="396"/>
      <c r="O19" s="397"/>
      <c r="P19" s="398"/>
      <c r="Q19" s="399"/>
      <c r="R19" s="400"/>
      <c r="S19" s="401"/>
      <c r="T19" s="393"/>
      <c r="U19" s="402"/>
      <c r="V19" s="185"/>
      <c r="W19" s="186"/>
      <c r="X19" s="186"/>
      <c r="Y19" s="186"/>
      <c r="Z19" s="187"/>
    </row>
    <row r="20" ht="23.25" hidden="1" customHeight="1" spans="1:31">
      <c r="A20" s="188"/>
      <c r="B20" s="189"/>
      <c r="C20" s="190"/>
      <c r="D20" s="190"/>
      <c r="E20" s="190"/>
      <c r="F20" s="190"/>
      <c r="G20" s="190"/>
      <c r="H20" s="190"/>
      <c r="I20" s="191"/>
      <c r="J20" s="192"/>
      <c r="K20" s="190"/>
      <c r="L20" s="190"/>
      <c r="M20" s="190"/>
      <c r="N20" s="190"/>
      <c r="O20" s="190"/>
      <c r="P20" s="190"/>
      <c r="Q20" s="192"/>
      <c r="R20" s="190"/>
      <c r="S20" s="190"/>
      <c r="T20" s="190"/>
      <c r="U20" s="190"/>
      <c r="V20" s="190"/>
      <c r="W20" s="192"/>
      <c r="X20" s="190"/>
      <c r="Y20" s="190"/>
      <c r="Z20" s="193"/>
    </row>
    <row r="21" ht="18.75" spans="1:31">
      <c r="A21" s="194"/>
      <c r="B21" s="195"/>
      <c r="C21" s="195"/>
      <c r="D21" s="196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7"/>
    </row>
    <row r="22" s="1" customFormat="1" ht="29.25" customHeight="1" spans="1:31">
      <c r="A22" s="198" t="s">
        <v>65</v>
      </c>
      <c r="B22" s="199"/>
      <c r="C22" s="200" t="s">
        <v>66</v>
      </c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1"/>
      <c r="AA22" s="202"/>
      <c r="AB22" s="203"/>
      <c r="AC22" s="204"/>
      <c r="AD22" s="156"/>
      <c r="AE22" s="156"/>
    </row>
    <row r="23" s="1" customFormat="1" ht="13.5" customHeight="1" spans="1:31">
      <c r="A23" s="205"/>
      <c r="B23" s="206"/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8"/>
      <c r="T23" s="209"/>
      <c r="U23" s="207"/>
      <c r="V23" s="207"/>
      <c r="W23" s="208"/>
      <c r="X23" s="207"/>
      <c r="Y23" s="209"/>
      <c r="Z23" s="210"/>
      <c r="AA23" s="207"/>
      <c r="AB23" s="203"/>
      <c r="AC23" s="204"/>
      <c r="AD23" s="156"/>
      <c r="AE23" s="156"/>
    </row>
    <row r="24" customFormat="1" ht="25.5" customHeight="1" spans="1:31">
      <c r="A24" s="211" t="s">
        <v>67</v>
      </c>
      <c r="B24" s="212" t="s">
        <v>68</v>
      </c>
      <c r="C24" s="213"/>
      <c r="D24" s="214"/>
      <c r="E24" s="215" t="s">
        <v>69</v>
      </c>
      <c r="F24" s="216" t="s">
        <v>70</v>
      </c>
      <c r="G24" s="217" t="s">
        <v>71</v>
      </c>
      <c r="H24" s="217"/>
      <c r="I24" s="217"/>
      <c r="J24" s="217"/>
      <c r="K24" s="218" t="s">
        <v>72</v>
      </c>
      <c r="L24" s="219"/>
      <c r="M24" s="220" t="s">
        <v>73</v>
      </c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2"/>
      <c r="Z24" s="223"/>
      <c r="AA24" s="196"/>
      <c r="AB24" s="2"/>
      <c r="AC24" s="2"/>
      <c r="AD24" s="156"/>
      <c r="AE24" s="2"/>
    </row>
    <row r="25" customFormat="1" ht="25.5" customHeight="1" spans="1:31">
      <c r="A25" s="224"/>
      <c r="B25" s="225"/>
      <c r="C25" s="226"/>
      <c r="D25" s="227"/>
      <c r="E25" s="228"/>
      <c r="F25" s="229"/>
      <c r="G25" s="230" t="s">
        <v>55</v>
      </c>
      <c r="H25" s="230" t="s">
        <v>43</v>
      </c>
      <c r="I25" s="230" t="s">
        <v>74</v>
      </c>
      <c r="J25" s="229" t="s">
        <v>75</v>
      </c>
      <c r="K25" s="218"/>
      <c r="L25" s="231"/>
      <c r="M25" s="232"/>
      <c r="N25" s="233" t="s">
        <v>76</v>
      </c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34"/>
      <c r="AA25" s="196"/>
      <c r="AB25" s="2"/>
      <c r="AC25" s="2"/>
      <c r="AD25" s="2"/>
      <c r="AE25" s="2"/>
    </row>
    <row r="26" customFormat="1" ht="23.1" customHeight="1" spans="1:31">
      <c r="A26" s="235" t="s">
        <v>156</v>
      </c>
      <c r="B26" s="236" t="s">
        <v>157</v>
      </c>
      <c r="C26" s="237"/>
      <c r="D26" s="238"/>
      <c r="E26" s="239" t="s">
        <v>79</v>
      </c>
      <c r="F26" s="239">
        <v>4</v>
      </c>
      <c r="G26" s="239">
        <v>42</v>
      </c>
      <c r="H26" s="239">
        <v>72</v>
      </c>
      <c r="I26" s="239">
        <v>6</v>
      </c>
      <c r="J26" s="240">
        <f t="shared" ref="J26:J36" si="0">SUM(G26:I26)</f>
        <v>120</v>
      </c>
      <c r="K26" s="241"/>
      <c r="L26" s="242"/>
      <c r="M26" s="243"/>
      <c r="N26" s="244"/>
      <c r="O26" s="245"/>
      <c r="P26" s="246"/>
      <c r="Q26" s="232"/>
      <c r="R26" s="246"/>
      <c r="S26" s="246"/>
      <c r="T26" s="195"/>
      <c r="U26" s="195"/>
      <c r="V26" s="195"/>
      <c r="W26" s="195"/>
      <c r="X26" s="195"/>
      <c r="Y26" s="195"/>
      <c r="Z26" s="197"/>
      <c r="AA26" s="247"/>
      <c r="AB26" s="2"/>
      <c r="AC26" s="2"/>
      <c r="AD26" s="2"/>
      <c r="AE26" s="2"/>
    </row>
    <row r="27" customFormat="1" ht="23.1" customHeight="1" spans="1:31">
      <c r="A27" s="235" t="s">
        <v>80</v>
      </c>
      <c r="B27" s="236" t="s">
        <v>192</v>
      </c>
      <c r="C27" s="237"/>
      <c r="D27" s="238"/>
      <c r="E27" s="239" t="s">
        <v>79</v>
      </c>
      <c r="F27" s="239">
        <v>2</v>
      </c>
      <c r="G27" s="239">
        <v>22</v>
      </c>
      <c r="H27" s="239">
        <v>32</v>
      </c>
      <c r="I27" s="239">
        <v>6</v>
      </c>
      <c r="J27" s="240">
        <f t="shared" si="0"/>
        <v>60</v>
      </c>
      <c r="K27" s="248"/>
      <c r="L27" s="242"/>
      <c r="M27" s="243"/>
      <c r="N27" s="244"/>
      <c r="O27" s="245"/>
      <c r="P27" s="246"/>
      <c r="Q27" s="232"/>
      <c r="R27" s="246"/>
      <c r="S27" s="246"/>
      <c r="T27" s="195"/>
      <c r="U27" s="195"/>
      <c r="V27" s="195"/>
      <c r="W27" s="195"/>
      <c r="X27" s="249" t="s">
        <v>83</v>
      </c>
      <c r="Y27" s="195"/>
      <c r="Z27" s="197"/>
      <c r="AA27" s="247"/>
      <c r="AB27" s="2"/>
      <c r="AC27" s="2"/>
      <c r="AD27" s="2"/>
      <c r="AE27" s="2"/>
    </row>
    <row r="28" customFormat="1" ht="23.1" customHeight="1" spans="1:31">
      <c r="A28" s="250" t="s">
        <v>193</v>
      </c>
      <c r="B28" s="251" t="s">
        <v>194</v>
      </c>
      <c r="C28" s="252"/>
      <c r="D28" s="253"/>
      <c r="E28" s="254" t="s">
        <v>195</v>
      </c>
      <c r="F28" s="254">
        <v>3</v>
      </c>
      <c r="G28" s="254">
        <v>22</v>
      </c>
      <c r="H28" s="254">
        <v>45</v>
      </c>
      <c r="I28" s="254">
        <v>5</v>
      </c>
      <c r="J28" s="255">
        <f t="shared" si="0"/>
        <v>72</v>
      </c>
      <c r="K28" s="256"/>
      <c r="L28" s="257" t="s">
        <v>87</v>
      </c>
      <c r="M28" s="258"/>
      <c r="N28" s="258"/>
      <c r="O28" s="258"/>
      <c r="P28" s="258"/>
      <c r="Q28" s="259"/>
      <c r="R28" s="246"/>
      <c r="S28" s="258" t="s">
        <v>88</v>
      </c>
      <c r="T28" s="196"/>
      <c r="U28" s="195"/>
      <c r="V28" s="195"/>
      <c r="W28" s="195"/>
      <c r="X28" s="232" t="s">
        <v>89</v>
      </c>
      <c r="Y28" s="195"/>
      <c r="Z28" s="197"/>
      <c r="AA28" s="247"/>
      <c r="AB28" s="2"/>
      <c r="AC28" s="2"/>
      <c r="AD28" s="2"/>
      <c r="AE28" s="2"/>
    </row>
    <row r="29" customFormat="1" ht="23.1" customHeight="1" spans="1:31">
      <c r="A29" s="250" t="s">
        <v>196</v>
      </c>
      <c r="B29" s="251" t="s">
        <v>197</v>
      </c>
      <c r="C29" s="252"/>
      <c r="D29" s="253"/>
      <c r="E29" s="254" t="s">
        <v>195</v>
      </c>
      <c r="F29" s="254">
        <v>3</v>
      </c>
      <c r="G29" s="254">
        <v>22</v>
      </c>
      <c r="H29" s="254">
        <v>45</v>
      </c>
      <c r="I29" s="254">
        <v>5</v>
      </c>
      <c r="J29" s="255">
        <f t="shared" si="0"/>
        <v>72</v>
      </c>
      <c r="K29" s="256"/>
      <c r="L29" s="242"/>
      <c r="M29" s="195"/>
      <c r="N29" s="258"/>
      <c r="O29" s="196"/>
      <c r="P29" s="246"/>
      <c r="Q29" s="232"/>
      <c r="R29" s="246"/>
      <c r="S29" s="258" t="s">
        <v>93</v>
      </c>
      <c r="T29" s="196"/>
      <c r="U29" s="195"/>
      <c r="V29" s="195"/>
      <c r="W29" s="195"/>
      <c r="X29" s="232" t="s">
        <v>94</v>
      </c>
      <c r="Y29" s="195"/>
      <c r="Z29" s="197"/>
      <c r="AA29" s="247"/>
      <c r="AB29" s="2"/>
      <c r="AC29" s="2"/>
      <c r="AD29" s="2"/>
      <c r="AE29" s="2"/>
    </row>
    <row r="30" customFormat="1" ht="23.1" customHeight="1" spans="1:31">
      <c r="A30" s="260" t="s">
        <v>165</v>
      </c>
      <c r="B30" s="261" t="s">
        <v>198</v>
      </c>
      <c r="C30" s="262"/>
      <c r="D30" s="263"/>
      <c r="E30" s="264" t="s">
        <v>86</v>
      </c>
      <c r="F30" s="264">
        <v>5</v>
      </c>
      <c r="G30" s="264">
        <v>41</v>
      </c>
      <c r="H30" s="265">
        <v>29</v>
      </c>
      <c r="I30" s="265">
        <v>5</v>
      </c>
      <c r="J30" s="266">
        <f t="shared" si="0"/>
        <v>75</v>
      </c>
      <c r="K30" s="267"/>
      <c r="L30" s="242"/>
      <c r="M30" s="195"/>
      <c r="N30" s="268"/>
      <c r="O30" s="196"/>
      <c r="P30" s="246"/>
      <c r="Q30" s="232"/>
      <c r="R30" s="246"/>
      <c r="S30" s="232"/>
      <c r="T30" s="196"/>
      <c r="U30" s="195"/>
      <c r="V30" s="195"/>
      <c r="W30" s="195"/>
      <c r="X30" s="196"/>
      <c r="Y30" s="195"/>
      <c r="Z30" s="197"/>
      <c r="AA30" s="247"/>
      <c r="AB30" s="2"/>
      <c r="AC30" s="2"/>
      <c r="AD30" s="2"/>
      <c r="AE30" s="2"/>
    </row>
    <row r="31" customFormat="1" ht="23.1" customHeight="1" spans="1:31">
      <c r="A31" s="269" t="s">
        <v>84</v>
      </c>
      <c r="B31" s="270" t="s">
        <v>85</v>
      </c>
      <c r="C31" s="271"/>
      <c r="D31" s="272"/>
      <c r="E31" s="273" t="s">
        <v>86</v>
      </c>
      <c r="F31" s="274">
        <v>2</v>
      </c>
      <c r="G31" s="274">
        <v>18</v>
      </c>
      <c r="H31" s="273">
        <v>10</v>
      </c>
      <c r="I31" s="274">
        <v>2</v>
      </c>
      <c r="J31" s="275">
        <f t="shared" si="0"/>
        <v>30</v>
      </c>
      <c r="K31" s="276"/>
      <c r="L31" s="242"/>
      <c r="M31" s="195"/>
      <c r="N31" s="195"/>
      <c r="O31" s="195"/>
      <c r="P31" s="195"/>
      <c r="Q31" s="195"/>
      <c r="R31" s="195"/>
      <c r="S31" s="277"/>
      <c r="T31" s="196"/>
      <c r="U31" s="195"/>
      <c r="V31" s="195"/>
      <c r="W31" s="195"/>
      <c r="X31" s="268"/>
      <c r="Y31" s="195"/>
      <c r="Z31" s="197"/>
      <c r="AA31" s="247"/>
      <c r="AB31" s="2"/>
      <c r="AC31" s="2"/>
      <c r="AD31" s="2"/>
      <c r="AE31" s="2"/>
    </row>
    <row r="32" customFormat="1" ht="23.1" customHeight="1" spans="1:31">
      <c r="A32" s="278" t="s">
        <v>97</v>
      </c>
      <c r="B32" s="279" t="s">
        <v>98</v>
      </c>
      <c r="C32" s="280"/>
      <c r="D32" s="281"/>
      <c r="E32" s="282" t="s">
        <v>82</v>
      </c>
      <c r="F32" s="282">
        <v>2</v>
      </c>
      <c r="G32" s="282">
        <v>30</v>
      </c>
      <c r="H32" s="282">
        <v>15</v>
      </c>
      <c r="I32" s="282">
        <v>3</v>
      </c>
      <c r="J32" s="283">
        <f t="shared" si="0"/>
        <v>48</v>
      </c>
      <c r="K32" s="284"/>
      <c r="L32" s="242"/>
      <c r="M32" s="195"/>
      <c r="N32" s="195"/>
      <c r="O32" s="196"/>
      <c r="P32" s="195"/>
      <c r="Q32" s="268"/>
      <c r="R32" s="258"/>
      <c r="S32" s="195"/>
      <c r="T32" s="196"/>
      <c r="U32" s="258"/>
      <c r="V32" s="258"/>
      <c r="W32" s="268"/>
      <c r="X32" s="196"/>
      <c r="Y32" s="249"/>
      <c r="Z32" s="197"/>
      <c r="AA32" s="249"/>
      <c r="AB32" s="2"/>
      <c r="AC32" s="2"/>
      <c r="AD32" s="2"/>
      <c r="AE32" s="2"/>
    </row>
    <row r="33" customFormat="1" ht="23.1" customHeight="1" spans="1:31">
      <c r="A33" s="285" t="s">
        <v>199</v>
      </c>
      <c r="B33" s="286" t="s">
        <v>81</v>
      </c>
      <c r="C33" s="287"/>
      <c r="D33" s="288"/>
      <c r="E33" s="289" t="s">
        <v>82</v>
      </c>
      <c r="F33" s="289">
        <v>2</v>
      </c>
      <c r="G33" s="289">
        <v>30</v>
      </c>
      <c r="H33" s="289">
        <v>0</v>
      </c>
      <c r="I33" s="289">
        <v>3</v>
      </c>
      <c r="J33" s="290">
        <f t="shared" si="0"/>
        <v>33</v>
      </c>
      <c r="K33" s="291"/>
      <c r="L33" s="242"/>
      <c r="M33" s="268"/>
      <c r="N33" s="195"/>
      <c r="O33" s="258"/>
      <c r="P33" s="258"/>
      <c r="Q33" s="268"/>
      <c r="R33" s="232"/>
      <c r="S33" s="195"/>
      <c r="T33" s="196"/>
      <c r="U33" s="232"/>
      <c r="V33" s="232"/>
      <c r="W33" s="268"/>
      <c r="X33" s="196"/>
      <c r="Y33" s="232"/>
      <c r="Z33" s="197"/>
      <c r="AA33" s="232"/>
      <c r="AB33" s="2"/>
      <c r="AC33" s="2"/>
      <c r="AD33" s="2"/>
      <c r="AE33" s="2"/>
    </row>
    <row r="34" customFormat="1" ht="23.1" customHeight="1" spans="1:31">
      <c r="A34" s="260" t="s">
        <v>101</v>
      </c>
      <c r="B34" s="261" t="s">
        <v>102</v>
      </c>
      <c r="C34" s="262"/>
      <c r="D34" s="263"/>
      <c r="E34" s="264" t="s">
        <v>86</v>
      </c>
      <c r="F34" s="264">
        <v>1</v>
      </c>
      <c r="G34" s="264">
        <v>15</v>
      </c>
      <c r="H34" s="264">
        <v>4</v>
      </c>
      <c r="I34" s="264">
        <v>3</v>
      </c>
      <c r="J34" s="266">
        <f t="shared" si="0"/>
        <v>22</v>
      </c>
      <c r="K34" s="293"/>
      <c r="L34" s="242"/>
      <c r="M34" s="195"/>
      <c r="N34" s="195"/>
      <c r="O34" s="196"/>
      <c r="P34" s="195"/>
      <c r="Q34" s="195"/>
      <c r="R34" s="195"/>
      <c r="S34" s="196"/>
      <c r="T34" s="196"/>
      <c r="U34" s="277"/>
      <c r="V34" s="277"/>
      <c r="W34" s="268"/>
      <c r="X34" s="196"/>
      <c r="Y34" s="232"/>
      <c r="Z34" s="197"/>
      <c r="AA34" s="232"/>
      <c r="AB34" s="2"/>
      <c r="AC34" s="2"/>
      <c r="AD34" s="2"/>
      <c r="AE34" s="2"/>
    </row>
    <row r="35" customFormat="1" ht="23.1" customHeight="1" spans="1:31">
      <c r="A35" s="269" t="s">
        <v>103</v>
      </c>
      <c r="B35" s="270" t="s">
        <v>104</v>
      </c>
      <c r="C35" s="271"/>
      <c r="D35" s="272"/>
      <c r="E35" s="273" t="s">
        <v>82</v>
      </c>
      <c r="F35" s="274">
        <v>2</v>
      </c>
      <c r="G35" s="274">
        <v>30</v>
      </c>
      <c r="H35" s="294">
        <v>15</v>
      </c>
      <c r="I35" s="274">
        <v>10</v>
      </c>
      <c r="J35" s="403">
        <f t="shared" si="0"/>
        <v>55</v>
      </c>
      <c r="K35" s="276"/>
      <c r="L35" s="257" t="s">
        <v>105</v>
      </c>
      <c r="M35" s="258"/>
      <c r="N35" s="258"/>
      <c r="O35" s="258"/>
      <c r="P35" s="258"/>
      <c r="Q35" s="259"/>
      <c r="R35" s="195"/>
      <c r="S35" s="258" t="s">
        <v>106</v>
      </c>
      <c r="T35" s="196"/>
      <c r="U35" s="195"/>
      <c r="V35" s="195"/>
      <c r="W35" s="195"/>
      <c r="X35" s="258" t="s">
        <v>107</v>
      </c>
      <c r="Y35" s="195"/>
      <c r="Z35" s="197"/>
      <c r="AA35" s="196"/>
      <c r="AB35" s="2"/>
      <c r="AC35" s="2"/>
      <c r="AD35" s="2"/>
      <c r="AE35" s="2"/>
    </row>
    <row r="36" customFormat="1" ht="23.1" customHeight="1" spans="1:31">
      <c r="A36" s="295" t="s">
        <v>110</v>
      </c>
      <c r="B36" s="296" t="s">
        <v>200</v>
      </c>
      <c r="C36" s="297"/>
      <c r="D36" s="298"/>
      <c r="E36" s="299" t="s">
        <v>79</v>
      </c>
      <c r="F36" s="300">
        <v>1</v>
      </c>
      <c r="G36" s="300">
        <v>10</v>
      </c>
      <c r="H36" s="301">
        <v>16</v>
      </c>
      <c r="I36" s="300">
        <v>1</v>
      </c>
      <c r="J36" s="302">
        <f t="shared" si="0"/>
        <v>27</v>
      </c>
      <c r="K36" s="303"/>
      <c r="L36" s="242"/>
      <c r="M36" s="195"/>
      <c r="N36" s="258"/>
      <c r="O36" s="196"/>
      <c r="P36" s="195"/>
      <c r="Q36" s="195"/>
      <c r="R36" s="195"/>
      <c r="S36" s="196"/>
      <c r="T36" s="258"/>
      <c r="U36" s="195"/>
      <c r="V36" s="195"/>
      <c r="W36" s="195"/>
      <c r="X36" s="195"/>
      <c r="Y36" s="195"/>
      <c r="Z36" s="304"/>
      <c r="AA36" s="196"/>
      <c r="AB36" s="2"/>
      <c r="AC36" s="2"/>
      <c r="AD36" s="2"/>
      <c r="AE36" s="2"/>
    </row>
    <row r="37" customFormat="1" ht="23.1" customHeight="1" spans="1:31">
      <c r="A37" s="305" t="s">
        <v>112</v>
      </c>
      <c r="B37" s="306"/>
      <c r="C37" s="306"/>
      <c r="D37" s="306"/>
      <c r="E37" s="307"/>
      <c r="F37" s="308">
        <f>SUM(F26:F35)</f>
        <v>26</v>
      </c>
      <c r="G37" s="308">
        <f>SUM(G26:G35)</f>
        <v>272</v>
      </c>
      <c r="H37" s="308">
        <f>SUM(H26:H35)</f>
        <v>267</v>
      </c>
      <c r="I37" s="308">
        <f>SUM(I26:I35)</f>
        <v>48</v>
      </c>
      <c r="J37" s="308">
        <f>SUM(J26:J35)</f>
        <v>587</v>
      </c>
      <c r="K37" s="309"/>
      <c r="L37" s="192"/>
      <c r="M37" s="190"/>
      <c r="N37" s="310"/>
      <c r="O37" s="189"/>
      <c r="P37" s="190"/>
      <c r="Q37" s="190"/>
      <c r="R37" s="190"/>
      <c r="S37" s="190"/>
      <c r="T37" s="310"/>
      <c r="U37" s="190"/>
      <c r="V37" s="190"/>
      <c r="W37" s="190"/>
      <c r="X37" s="190"/>
      <c r="Y37" s="190"/>
      <c r="Z37" s="311"/>
      <c r="AA37" s="196"/>
      <c r="AB37" s="2"/>
      <c r="AC37" s="2"/>
      <c r="AD37" s="2"/>
      <c r="AE37" s="2"/>
    </row>
    <row r="38" customFormat="1" ht="22.5" spans="1:31">
      <c r="A38" s="196"/>
      <c r="B38" s="196"/>
      <c r="C38" s="196"/>
      <c r="D38" s="196"/>
      <c r="E38" s="196"/>
      <c r="F38" s="196"/>
      <c r="G38" s="196"/>
      <c r="H38" s="196"/>
      <c r="I38" s="195"/>
      <c r="J38" s="246"/>
      <c r="K38" s="196"/>
      <c r="L38" s="195"/>
      <c r="M38" s="195"/>
      <c r="O38" s="196"/>
      <c r="P38" s="195"/>
      <c r="Q38" s="195"/>
      <c r="R38" s="195"/>
      <c r="S38" s="195"/>
      <c r="U38" s="196"/>
      <c r="V38" s="196"/>
      <c r="W38" s="196"/>
      <c r="X38" s="196"/>
      <c r="Y38" s="196"/>
      <c r="AA38" s="196"/>
      <c r="AB38" s="2"/>
      <c r="AC38" s="2"/>
      <c r="AD38" s="2"/>
      <c r="AE38" s="2"/>
    </row>
    <row r="39" ht="18.75" spans="1:31">
      <c r="A39" s="312"/>
      <c r="B39" s="312"/>
      <c r="C39" s="312"/>
      <c r="D39" s="312"/>
      <c r="E39" s="312"/>
      <c r="F39" s="312"/>
      <c r="G39" s="312"/>
      <c r="H39" s="312"/>
      <c r="I39" s="312"/>
      <c r="J39" s="312"/>
      <c r="K39" s="312"/>
      <c r="L39" s="312"/>
      <c r="M39" s="312"/>
      <c r="N39" s="312"/>
      <c r="O39" s="312"/>
      <c r="P39" s="312"/>
      <c r="Q39" s="312"/>
      <c r="R39" s="312"/>
      <c r="S39" s="312"/>
      <c r="T39" s="312"/>
      <c r="U39" s="312"/>
      <c r="V39" s="312"/>
      <c r="W39" s="312"/>
      <c r="X39" s="312"/>
      <c r="Y39" s="312"/>
    </row>
    <row r="40" ht="18.75" spans="1:31">
      <c r="A40" s="312"/>
      <c r="B40" s="312"/>
      <c r="C40" s="312"/>
      <c r="D40" s="312"/>
      <c r="E40" s="312"/>
      <c r="F40" s="312"/>
      <c r="G40" s="312"/>
      <c r="H40" s="312"/>
      <c r="I40" s="312"/>
      <c r="J40" s="312"/>
      <c r="K40" s="312"/>
      <c r="L40" s="312"/>
      <c r="M40" s="312"/>
      <c r="N40" s="312"/>
      <c r="O40" s="312"/>
      <c r="P40" s="312"/>
      <c r="Q40" s="312"/>
      <c r="R40" s="312"/>
      <c r="S40" s="312"/>
      <c r="T40" s="312"/>
      <c r="U40" s="312"/>
      <c r="V40" s="312"/>
      <c r="W40" s="312"/>
      <c r="X40" s="312"/>
      <c r="Y40" s="312"/>
    </row>
    <row r="41" ht="18.75" spans="1:31">
      <c r="A41" s="312"/>
      <c r="B41" s="312"/>
      <c r="C41" s="312"/>
      <c r="D41" s="312"/>
      <c r="E41" s="312"/>
      <c r="F41" s="312"/>
      <c r="G41" s="312"/>
      <c r="H41" s="312"/>
      <c r="I41" s="312"/>
      <c r="J41" s="312"/>
      <c r="K41" s="312"/>
      <c r="L41" s="312"/>
      <c r="M41" s="312"/>
      <c r="N41" s="312"/>
      <c r="O41" s="312"/>
      <c r="P41" s="312"/>
      <c r="Q41" s="312"/>
      <c r="R41" s="312"/>
      <c r="S41" s="312"/>
      <c r="T41" s="312"/>
      <c r="U41" s="312"/>
      <c r="V41" s="312"/>
      <c r="W41" s="312"/>
      <c r="X41" s="312"/>
      <c r="Y41" s="312"/>
    </row>
    <row r="42" ht="18.75" spans="1:31">
      <c r="A42" s="312"/>
      <c r="B42" s="312"/>
      <c r="C42" s="312"/>
      <c r="D42" s="312"/>
      <c r="E42" s="312"/>
      <c r="F42" s="312"/>
      <c r="G42" s="312"/>
      <c r="H42" s="312"/>
      <c r="I42" s="312"/>
      <c r="J42" s="312"/>
      <c r="K42" s="312"/>
      <c r="L42" s="312"/>
      <c r="M42" s="312"/>
      <c r="N42" s="312"/>
      <c r="O42" s="312"/>
      <c r="P42" s="312"/>
      <c r="Q42" s="312"/>
      <c r="R42" s="312"/>
      <c r="S42" s="312"/>
      <c r="T42" s="312"/>
      <c r="U42" s="312"/>
      <c r="V42" s="312"/>
      <c r="W42" s="312"/>
      <c r="X42" s="312"/>
      <c r="Y42" s="312"/>
    </row>
    <row r="43" ht="18.75" spans="1:31">
      <c r="A43" s="312"/>
      <c r="B43" s="312"/>
      <c r="C43" s="312"/>
      <c r="D43" s="312"/>
      <c r="E43" s="312"/>
      <c r="F43" s="312"/>
      <c r="G43" s="312"/>
      <c r="H43" s="312"/>
      <c r="I43" s="312"/>
      <c r="J43" s="312"/>
      <c r="K43" s="312"/>
      <c r="L43" s="312"/>
      <c r="M43" s="312"/>
      <c r="N43" s="312"/>
      <c r="O43" s="312"/>
      <c r="P43" s="312"/>
      <c r="Q43" s="312"/>
      <c r="R43" s="312"/>
      <c r="S43" s="312"/>
      <c r="T43" s="312"/>
      <c r="U43" s="312"/>
      <c r="V43" s="312"/>
      <c r="W43" s="312"/>
      <c r="X43" s="312"/>
      <c r="Y43" s="312"/>
    </row>
    <row r="44" ht="18.75" spans="1:31">
      <c r="A44" s="312"/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M44" s="312"/>
      <c r="N44" s="312"/>
      <c r="O44" s="312"/>
      <c r="P44" s="312"/>
      <c r="Q44" s="312"/>
      <c r="R44" s="312"/>
      <c r="S44" s="312"/>
      <c r="T44" s="312"/>
      <c r="U44" s="312"/>
      <c r="V44" s="312"/>
      <c r="W44" s="312"/>
      <c r="X44" s="312"/>
      <c r="Y44" s="312"/>
    </row>
    <row r="45" ht="18.75" spans="1:31">
      <c r="A45" s="312"/>
      <c r="B45" s="312"/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M45" s="312"/>
      <c r="N45" s="312"/>
      <c r="O45" s="312"/>
      <c r="P45" s="312"/>
      <c r="Q45" s="313"/>
      <c r="R45" s="312"/>
      <c r="S45" s="312"/>
      <c r="T45" s="312"/>
      <c r="U45" s="312"/>
      <c r="V45" s="312"/>
      <c r="W45" s="312"/>
      <c r="X45" s="312"/>
      <c r="Y45" s="312"/>
    </row>
    <row r="46" ht="18.75" spans="1:31">
      <c r="A46" s="312"/>
      <c r="B46" s="312"/>
      <c r="C46" s="312"/>
      <c r="D46" s="312"/>
      <c r="E46" s="312"/>
      <c r="F46" s="312"/>
      <c r="G46" s="312"/>
      <c r="H46" s="312"/>
      <c r="I46" s="312"/>
      <c r="J46" s="312"/>
      <c r="K46" s="312"/>
      <c r="L46" s="312"/>
      <c r="M46" s="312"/>
      <c r="N46" s="312"/>
      <c r="O46" s="312"/>
      <c r="P46" s="312"/>
      <c r="Q46" s="312"/>
      <c r="R46" s="312"/>
      <c r="S46" s="312"/>
      <c r="T46" s="312"/>
      <c r="U46" s="312"/>
      <c r="V46" s="312"/>
      <c r="W46" s="312"/>
      <c r="X46" s="312"/>
      <c r="Y46" s="312"/>
    </row>
    <row r="47" ht="18.75" spans="1:31">
      <c r="A47" s="312"/>
      <c r="B47" s="312"/>
      <c r="C47" s="312"/>
      <c r="D47" s="312"/>
      <c r="E47" s="312"/>
      <c r="F47" s="312"/>
      <c r="G47" s="312"/>
      <c r="H47" s="312"/>
      <c r="I47" s="312"/>
      <c r="J47" s="312"/>
      <c r="K47" s="312"/>
      <c r="L47" s="312"/>
      <c r="M47" s="312"/>
      <c r="N47" s="312"/>
      <c r="O47" s="312"/>
      <c r="P47" s="312"/>
      <c r="Q47" s="312"/>
      <c r="R47" s="312"/>
      <c r="S47" s="312"/>
      <c r="T47" s="312"/>
      <c r="U47" s="312"/>
      <c r="V47" s="312"/>
      <c r="W47" s="312"/>
      <c r="X47" s="312"/>
      <c r="Y47" s="312"/>
    </row>
    <row r="48" ht="18.75" spans="1:31">
      <c r="A48" s="312"/>
      <c r="B48" s="312"/>
      <c r="C48" s="312"/>
      <c r="D48" s="312"/>
      <c r="E48" s="312"/>
      <c r="F48" s="312"/>
      <c r="G48" s="312"/>
      <c r="H48" s="312"/>
      <c r="I48" s="312"/>
      <c r="J48" s="312"/>
      <c r="K48" s="312"/>
      <c r="L48" s="312"/>
      <c r="M48" s="312"/>
      <c r="N48" s="312"/>
      <c r="O48" s="312"/>
      <c r="P48" s="312"/>
      <c r="Q48" s="312"/>
      <c r="R48" s="312"/>
      <c r="S48" s="312"/>
      <c r="T48" s="312"/>
      <c r="U48" s="312"/>
      <c r="V48" s="312"/>
      <c r="W48" s="312"/>
      <c r="X48" s="312"/>
      <c r="Y48" s="312"/>
    </row>
    <row r="49" ht="18.75" spans="1:25">
      <c r="A49" s="312"/>
      <c r="B49" s="312"/>
      <c r="C49" s="312"/>
      <c r="D49" s="312"/>
      <c r="E49" s="312"/>
      <c r="F49" s="312"/>
      <c r="G49" s="312"/>
      <c r="H49" s="312"/>
      <c r="I49" s="312"/>
      <c r="J49" s="312"/>
      <c r="K49" s="312"/>
      <c r="L49" s="312"/>
      <c r="M49" s="312"/>
      <c r="N49" s="312"/>
      <c r="O49" s="312"/>
      <c r="P49" s="312"/>
      <c r="Q49" s="312"/>
      <c r="R49" s="312"/>
      <c r="S49" s="312"/>
      <c r="T49" s="312"/>
      <c r="U49" s="312"/>
      <c r="V49" s="312"/>
      <c r="W49" s="312"/>
      <c r="X49" s="312"/>
      <c r="Y49" s="312"/>
    </row>
    <row r="50" ht="18.75" spans="1:25">
      <c r="A50" s="312"/>
      <c r="B50" s="312"/>
      <c r="C50" s="312"/>
      <c r="D50" s="312"/>
      <c r="E50" s="312"/>
      <c r="F50" s="312"/>
      <c r="G50" s="312"/>
      <c r="H50" s="312"/>
      <c r="I50" s="312"/>
      <c r="J50" s="312"/>
      <c r="K50" s="312"/>
      <c r="L50" s="312"/>
      <c r="M50" s="312"/>
      <c r="N50" s="312"/>
      <c r="O50" s="312"/>
      <c r="P50" s="312"/>
      <c r="Q50" s="312"/>
      <c r="R50" s="312"/>
      <c r="S50" s="312"/>
      <c r="T50" s="312"/>
      <c r="U50" s="312"/>
      <c r="V50" s="312"/>
      <c r="W50" s="312"/>
      <c r="X50" s="312"/>
      <c r="Y50" s="312"/>
    </row>
    <row r="51" ht="18.75" spans="1:25">
      <c r="A51" s="312"/>
      <c r="B51" s="312"/>
      <c r="C51" s="312"/>
      <c r="D51" s="312"/>
      <c r="E51" s="312"/>
      <c r="F51" s="312"/>
      <c r="G51" s="312"/>
      <c r="H51" s="312"/>
      <c r="I51" s="312"/>
      <c r="J51" s="312"/>
      <c r="K51" s="312"/>
      <c r="L51" s="312"/>
      <c r="M51" s="312"/>
      <c r="N51" s="312"/>
      <c r="O51" s="312"/>
      <c r="P51" s="312"/>
      <c r="Q51" s="312"/>
      <c r="R51" s="312"/>
      <c r="S51" s="312"/>
      <c r="T51" s="312"/>
      <c r="U51" s="312"/>
      <c r="V51" s="312"/>
      <c r="W51" s="312"/>
      <c r="X51" s="312"/>
      <c r="Y51" s="312"/>
    </row>
    <row r="52" ht="18.75" spans="1:25">
      <c r="A52" s="312"/>
      <c r="B52" s="312"/>
      <c r="C52" s="312"/>
      <c r="D52" s="312"/>
      <c r="E52" s="312"/>
      <c r="F52" s="312"/>
      <c r="G52" s="312"/>
      <c r="H52" s="312"/>
      <c r="I52" s="312"/>
      <c r="J52" s="312"/>
      <c r="K52" s="312"/>
      <c r="L52" s="312"/>
      <c r="M52" s="312"/>
      <c r="N52" s="312"/>
      <c r="O52" s="312"/>
      <c r="P52" s="312"/>
      <c r="Q52" s="312"/>
      <c r="R52" s="312"/>
      <c r="S52" s="312"/>
      <c r="T52" s="312"/>
      <c r="U52" s="312"/>
      <c r="V52" s="312"/>
      <c r="W52" s="312"/>
      <c r="X52" s="312"/>
      <c r="Y52" s="312"/>
    </row>
    <row r="53" ht="18.75" spans="1:25">
      <c r="A53" s="312"/>
      <c r="B53" s="312"/>
      <c r="C53" s="312"/>
      <c r="D53" s="312"/>
      <c r="E53" s="312"/>
      <c r="F53" s="312"/>
      <c r="G53" s="312"/>
      <c r="H53" s="312"/>
      <c r="I53" s="312"/>
      <c r="J53" s="312"/>
      <c r="K53" s="312"/>
      <c r="L53" s="312"/>
      <c r="M53" s="312"/>
      <c r="N53" s="312"/>
      <c r="O53" s="312"/>
      <c r="P53" s="312"/>
      <c r="Q53" s="312"/>
      <c r="R53" s="312"/>
      <c r="S53" s="312"/>
      <c r="T53" s="312"/>
      <c r="U53" s="312"/>
      <c r="V53" s="312"/>
      <c r="W53" s="312"/>
      <c r="X53" s="312"/>
      <c r="Y53" s="312"/>
    </row>
    <row r="54" ht="18.75" spans="1:25">
      <c r="A54" s="312"/>
      <c r="B54" s="312"/>
      <c r="C54" s="312"/>
      <c r="D54" s="312"/>
      <c r="E54" s="312"/>
      <c r="F54" s="312"/>
      <c r="G54" s="312"/>
      <c r="H54" s="312"/>
      <c r="I54" s="312"/>
      <c r="J54" s="312"/>
      <c r="K54" s="312"/>
      <c r="L54" s="312"/>
      <c r="M54" s="312"/>
      <c r="N54" s="312"/>
      <c r="O54" s="312"/>
      <c r="P54" s="312"/>
      <c r="Q54" s="312"/>
      <c r="R54" s="312"/>
      <c r="S54" s="312"/>
      <c r="T54" s="312"/>
      <c r="U54" s="312"/>
      <c r="V54" s="312"/>
      <c r="W54" s="312"/>
      <c r="X54" s="312"/>
      <c r="Y54" s="312"/>
    </row>
    <row r="55" ht="18.75" spans="1:25">
      <c r="A55" s="312"/>
      <c r="B55" s="312"/>
      <c r="C55" s="312"/>
      <c r="D55" s="312"/>
      <c r="E55" s="312"/>
      <c r="F55" s="312"/>
      <c r="G55" s="312"/>
      <c r="H55" s="312"/>
      <c r="I55" s="312"/>
      <c r="J55" s="312"/>
      <c r="K55" s="312"/>
      <c r="L55" s="312"/>
      <c r="M55" s="312"/>
      <c r="N55" s="312"/>
      <c r="O55" s="312"/>
      <c r="P55" s="312"/>
      <c r="Q55" s="312"/>
      <c r="R55" s="312"/>
      <c r="S55" s="312"/>
      <c r="T55" s="312"/>
      <c r="U55" s="312"/>
      <c r="V55" s="312"/>
      <c r="W55" s="312"/>
      <c r="X55" s="312"/>
      <c r="Y55" s="312"/>
    </row>
    <row r="56" ht="18.75" spans="1:25">
      <c r="A56" s="312"/>
      <c r="B56" s="312"/>
      <c r="C56" s="312"/>
      <c r="D56" s="312"/>
      <c r="E56" s="312"/>
      <c r="F56" s="312"/>
      <c r="G56" s="312"/>
      <c r="H56" s="312"/>
      <c r="I56" s="312"/>
      <c r="J56" s="312"/>
      <c r="K56" s="312"/>
      <c r="L56" s="312"/>
      <c r="M56" s="312"/>
      <c r="N56" s="312"/>
      <c r="O56" s="312"/>
      <c r="P56" s="312"/>
      <c r="Q56" s="312"/>
      <c r="R56" s="312"/>
      <c r="S56" s="312"/>
      <c r="T56" s="312"/>
      <c r="U56" s="312"/>
      <c r="V56" s="312"/>
      <c r="W56" s="312"/>
      <c r="X56" s="312"/>
      <c r="Y56" s="312"/>
    </row>
    <row r="57" ht="18.75" spans="1:25">
      <c r="A57" s="312"/>
      <c r="B57" s="312"/>
      <c r="C57" s="312"/>
      <c r="D57" s="312"/>
      <c r="E57" s="312"/>
      <c r="F57" s="312"/>
      <c r="G57" s="312"/>
      <c r="H57" s="312"/>
      <c r="I57" s="312"/>
      <c r="J57" s="312"/>
      <c r="K57" s="312"/>
      <c r="L57" s="312"/>
      <c r="M57" s="312"/>
      <c r="N57" s="312"/>
      <c r="O57" s="312"/>
      <c r="P57" s="312"/>
      <c r="Q57" s="312"/>
      <c r="R57" s="312"/>
      <c r="S57" s="312"/>
      <c r="T57" s="312"/>
      <c r="U57" s="312"/>
      <c r="V57" s="312"/>
      <c r="W57" s="312"/>
      <c r="X57" s="312"/>
      <c r="Y57" s="312"/>
    </row>
    <row r="58" ht="18.75" spans="1:25">
      <c r="A58" s="312"/>
      <c r="B58" s="312"/>
      <c r="C58" s="312"/>
      <c r="D58" s="312"/>
      <c r="E58" s="312"/>
      <c r="F58" s="312"/>
      <c r="G58" s="312"/>
      <c r="H58" s="312"/>
      <c r="I58" s="312"/>
      <c r="J58" s="312"/>
      <c r="K58" s="312"/>
      <c r="L58" s="312"/>
      <c r="M58" s="312"/>
      <c r="N58" s="312"/>
      <c r="O58" s="312"/>
      <c r="P58" s="312"/>
      <c r="Q58" s="312"/>
      <c r="R58" s="312"/>
      <c r="S58" s="312"/>
      <c r="T58" s="312"/>
      <c r="U58" s="312"/>
      <c r="V58" s="312"/>
      <c r="W58" s="312"/>
      <c r="X58" s="312"/>
      <c r="Y58" s="312"/>
    </row>
    <row r="59" ht="18.75" spans="1:25">
      <c r="A59" s="312"/>
      <c r="B59" s="312"/>
      <c r="C59" s="312"/>
      <c r="D59" s="312"/>
      <c r="E59" s="312"/>
      <c r="F59" s="312"/>
      <c r="G59" s="312"/>
      <c r="H59" s="312"/>
      <c r="I59" s="312"/>
      <c r="J59" s="312"/>
      <c r="K59" s="312"/>
      <c r="L59" s="312"/>
      <c r="M59" s="312"/>
      <c r="N59" s="312"/>
      <c r="O59" s="312"/>
      <c r="P59" s="312"/>
      <c r="Q59" s="312"/>
      <c r="R59" s="312"/>
      <c r="S59" s="312"/>
      <c r="T59" s="312"/>
      <c r="U59" s="312"/>
      <c r="V59" s="312"/>
      <c r="W59" s="312"/>
      <c r="X59" s="312"/>
      <c r="Y59" s="312"/>
    </row>
    <row r="60" ht="18.75" spans="1:25">
      <c r="A60" s="312"/>
      <c r="B60" s="312"/>
      <c r="C60" s="312"/>
      <c r="D60" s="312"/>
      <c r="E60" s="312"/>
      <c r="F60" s="312"/>
      <c r="G60" s="312"/>
      <c r="H60" s="312"/>
      <c r="I60" s="312"/>
      <c r="J60" s="312"/>
      <c r="K60" s="312"/>
      <c r="L60" s="312"/>
      <c r="M60" s="312"/>
      <c r="N60" s="312"/>
      <c r="O60" s="312"/>
      <c r="P60" s="312"/>
      <c r="Q60" s="312"/>
      <c r="R60" s="312"/>
      <c r="S60" s="312"/>
      <c r="T60" s="312"/>
      <c r="U60" s="312"/>
      <c r="V60" s="312"/>
      <c r="W60" s="312"/>
      <c r="X60" s="312"/>
      <c r="Y60" s="312"/>
    </row>
    <row r="61" ht="18.75" spans="1:25">
      <c r="A61" s="312"/>
      <c r="B61" s="312"/>
      <c r="C61" s="312"/>
      <c r="D61" s="312"/>
      <c r="E61" s="312"/>
      <c r="F61" s="312"/>
      <c r="G61" s="312"/>
      <c r="H61" s="312"/>
      <c r="I61" s="312"/>
      <c r="J61" s="312"/>
      <c r="K61" s="312"/>
      <c r="L61" s="312"/>
      <c r="M61" s="312"/>
      <c r="N61" s="312"/>
      <c r="O61" s="312"/>
      <c r="P61" s="312"/>
      <c r="Q61" s="312"/>
      <c r="R61" s="312"/>
      <c r="S61" s="312"/>
      <c r="T61" s="312"/>
      <c r="U61" s="312"/>
      <c r="V61" s="312"/>
      <c r="W61" s="312"/>
      <c r="X61" s="312"/>
      <c r="Y61" s="312"/>
    </row>
    <row r="62" ht="18.75" spans="1:25">
      <c r="A62" s="312"/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</row>
    <row r="63" ht="18.75" spans="1:25">
      <c r="A63" s="312"/>
      <c r="B63" s="312"/>
      <c r="C63" s="312"/>
      <c r="D63" s="312"/>
      <c r="E63" s="312"/>
      <c r="F63" s="312"/>
      <c r="G63" s="312"/>
      <c r="H63" s="312"/>
      <c r="I63" s="312"/>
      <c r="J63" s="312"/>
      <c r="K63" s="312"/>
      <c r="L63" s="312"/>
      <c r="M63" s="312"/>
      <c r="N63" s="312"/>
      <c r="O63" s="312"/>
      <c r="P63" s="312"/>
      <c r="Q63" s="312"/>
      <c r="R63" s="312"/>
      <c r="S63" s="312"/>
      <c r="T63" s="312"/>
      <c r="U63" s="312"/>
      <c r="V63" s="312"/>
      <c r="W63" s="312"/>
      <c r="X63" s="312"/>
      <c r="Y63" s="312"/>
    </row>
    <row r="64" ht="18.75" spans="1:25">
      <c r="A64" s="312"/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</row>
    <row r="65" ht="18.75" spans="1:25">
      <c r="A65" s="312"/>
      <c r="B65" s="312"/>
      <c r="C65" s="312"/>
      <c r="D65" s="312"/>
      <c r="E65" s="312"/>
      <c r="F65" s="312"/>
      <c r="G65" s="312"/>
      <c r="H65" s="312"/>
      <c r="I65" s="312"/>
      <c r="J65" s="312"/>
      <c r="K65" s="312"/>
      <c r="L65" s="312"/>
      <c r="M65" s="312"/>
      <c r="N65" s="312"/>
      <c r="O65" s="312"/>
      <c r="P65" s="312"/>
      <c r="Q65" s="312"/>
      <c r="R65" s="312"/>
      <c r="S65" s="312"/>
      <c r="T65" s="312"/>
      <c r="U65" s="312"/>
      <c r="V65" s="312"/>
      <c r="W65" s="312"/>
      <c r="X65" s="312"/>
      <c r="Y65" s="312"/>
    </row>
    <row r="66" ht="18.75" spans="1:25">
      <c r="A66" s="312"/>
      <c r="B66" s="312"/>
      <c r="C66" s="312"/>
      <c r="D66" s="312"/>
      <c r="E66" s="312"/>
      <c r="F66" s="312"/>
      <c r="G66" s="312"/>
      <c r="H66" s="312"/>
      <c r="I66" s="312"/>
      <c r="J66" s="312"/>
      <c r="K66" s="312"/>
      <c r="L66" s="312"/>
      <c r="M66" s="312"/>
      <c r="N66" s="312"/>
      <c r="O66" s="312"/>
      <c r="P66" s="312"/>
      <c r="Q66" s="312"/>
      <c r="R66" s="312"/>
      <c r="S66" s="312"/>
      <c r="T66" s="312"/>
      <c r="U66" s="312"/>
      <c r="V66" s="312"/>
      <c r="W66" s="312"/>
      <c r="X66" s="312"/>
      <c r="Y66" s="312"/>
    </row>
    <row r="67" ht="18.75" spans="1:25">
      <c r="A67" s="312"/>
      <c r="B67" s="312"/>
      <c r="C67" s="312"/>
      <c r="D67" s="312"/>
      <c r="E67" s="312"/>
      <c r="F67" s="312"/>
      <c r="G67" s="312"/>
      <c r="H67" s="312"/>
      <c r="I67" s="312"/>
      <c r="J67" s="312"/>
      <c r="K67" s="312"/>
      <c r="L67" s="312"/>
      <c r="M67" s="312"/>
      <c r="N67" s="312"/>
      <c r="O67" s="312"/>
      <c r="P67" s="312"/>
      <c r="Q67" s="312"/>
      <c r="R67" s="312"/>
      <c r="S67" s="312"/>
      <c r="T67" s="312"/>
      <c r="U67" s="312"/>
      <c r="V67" s="312"/>
      <c r="W67" s="312"/>
      <c r="X67" s="312"/>
      <c r="Y67" s="312"/>
    </row>
    <row r="68" ht="18.75" spans="1:25">
      <c r="A68" s="312"/>
      <c r="B68" s="312"/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</row>
    <row r="69" ht="18.75" spans="1:25">
      <c r="A69" s="312"/>
      <c r="B69" s="312"/>
      <c r="C69" s="312"/>
      <c r="D69" s="312"/>
      <c r="E69" s="312"/>
      <c r="F69" s="312"/>
      <c r="G69" s="312"/>
      <c r="H69" s="312"/>
      <c r="I69" s="312"/>
      <c r="J69" s="312"/>
      <c r="K69" s="312"/>
      <c r="L69" s="312"/>
      <c r="M69" s="312"/>
      <c r="N69" s="312"/>
      <c r="O69" s="312"/>
      <c r="P69" s="312"/>
      <c r="Q69" s="312"/>
      <c r="R69" s="312"/>
      <c r="S69" s="312"/>
      <c r="T69" s="312"/>
      <c r="U69" s="312"/>
      <c r="V69" s="312"/>
      <c r="W69" s="312"/>
      <c r="X69" s="312"/>
      <c r="Y69" s="312"/>
    </row>
    <row r="70" ht="18.75" spans="1:25">
      <c r="A70" s="312"/>
      <c r="B70" s="312"/>
      <c r="C70" s="312"/>
      <c r="D70" s="312"/>
      <c r="E70" s="312"/>
      <c r="F70" s="312"/>
      <c r="G70" s="312"/>
      <c r="H70" s="312"/>
      <c r="I70" s="312"/>
      <c r="J70" s="312"/>
      <c r="K70" s="312"/>
      <c r="L70" s="312"/>
      <c r="M70" s="312"/>
      <c r="N70" s="312"/>
      <c r="O70" s="312"/>
      <c r="P70" s="312"/>
      <c r="Q70" s="312"/>
      <c r="R70" s="312"/>
      <c r="S70" s="312"/>
      <c r="T70" s="312"/>
      <c r="U70" s="312"/>
      <c r="V70" s="312"/>
      <c r="W70" s="312"/>
      <c r="X70" s="312"/>
      <c r="Y70" s="312"/>
    </row>
    <row r="71" ht="18.75" spans="1:25">
      <c r="A71" s="312"/>
      <c r="B71" s="312"/>
      <c r="C71" s="312"/>
      <c r="D71" s="312"/>
      <c r="E71" s="312"/>
      <c r="F71" s="312"/>
      <c r="G71" s="312"/>
      <c r="H71" s="312"/>
      <c r="I71" s="312"/>
      <c r="J71" s="312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2"/>
      <c r="X71" s="312"/>
      <c r="Y71" s="312"/>
    </row>
    <row r="72" ht="18.75" spans="1:25">
      <c r="A72" s="312"/>
      <c r="B72" s="312"/>
      <c r="C72" s="312"/>
      <c r="D72" s="312"/>
      <c r="E72" s="312"/>
      <c r="F72" s="312"/>
      <c r="G72" s="312"/>
      <c r="H72" s="312"/>
      <c r="I72" s="312"/>
      <c r="J72" s="312"/>
      <c r="K72" s="312"/>
      <c r="L72" s="312"/>
      <c r="M72" s="312"/>
      <c r="N72" s="312"/>
      <c r="O72" s="312"/>
      <c r="P72" s="312"/>
      <c r="Q72" s="312"/>
      <c r="R72" s="312"/>
      <c r="S72" s="312"/>
      <c r="T72" s="312"/>
      <c r="U72" s="312"/>
      <c r="V72" s="312"/>
      <c r="W72" s="312"/>
      <c r="X72" s="312"/>
      <c r="Y72" s="312"/>
    </row>
    <row r="73" ht="18.75" spans="1:25">
      <c r="A73" s="312"/>
      <c r="B73" s="312"/>
      <c r="C73" s="312"/>
      <c r="D73" s="312"/>
      <c r="E73" s="312"/>
      <c r="F73" s="312"/>
      <c r="G73" s="312"/>
      <c r="H73" s="312"/>
      <c r="I73" s="312"/>
      <c r="J73" s="312"/>
      <c r="K73" s="312"/>
      <c r="L73" s="312"/>
      <c r="M73" s="312"/>
      <c r="N73" s="312"/>
      <c r="O73" s="312"/>
      <c r="P73" s="312"/>
      <c r="Q73" s="312"/>
      <c r="R73" s="312"/>
      <c r="S73" s="312"/>
      <c r="T73" s="312"/>
      <c r="U73" s="312"/>
      <c r="V73" s="312"/>
      <c r="W73" s="312"/>
      <c r="X73" s="312"/>
      <c r="Y73" s="312"/>
    </row>
    <row r="74" ht="18.75" spans="1:25">
      <c r="A74" s="312"/>
      <c r="B74" s="312"/>
      <c r="C74" s="312"/>
      <c r="D74" s="312"/>
      <c r="E74" s="312"/>
      <c r="F74" s="312"/>
      <c r="G74" s="312"/>
      <c r="H74" s="312"/>
      <c r="I74" s="312"/>
      <c r="J74" s="312"/>
      <c r="K74" s="312"/>
      <c r="L74" s="312"/>
      <c r="M74" s="312"/>
      <c r="N74" s="312"/>
      <c r="O74" s="312"/>
      <c r="P74" s="312"/>
      <c r="Q74" s="312"/>
      <c r="R74" s="312"/>
      <c r="S74" s="312"/>
      <c r="T74" s="312"/>
      <c r="U74" s="312"/>
      <c r="V74" s="312"/>
      <c r="W74" s="312"/>
      <c r="X74" s="312"/>
      <c r="Y74" s="312"/>
    </row>
    <row r="75" ht="18.75" spans="1:25">
      <c r="A75" s="312"/>
      <c r="B75" s="312"/>
      <c r="C75" s="312"/>
      <c r="D75" s="312"/>
      <c r="E75" s="312"/>
      <c r="F75" s="312"/>
      <c r="G75" s="312"/>
      <c r="H75" s="312"/>
      <c r="I75" s="312"/>
      <c r="J75" s="312"/>
      <c r="K75" s="312"/>
      <c r="L75" s="312"/>
      <c r="M75" s="312"/>
      <c r="N75" s="312"/>
      <c r="O75" s="312"/>
      <c r="P75" s="312"/>
      <c r="Q75" s="312"/>
      <c r="R75" s="312"/>
      <c r="S75" s="312"/>
      <c r="T75" s="312"/>
      <c r="U75" s="312"/>
      <c r="V75" s="312"/>
      <c r="W75" s="312"/>
      <c r="X75" s="312"/>
      <c r="Y75" s="312"/>
    </row>
    <row r="76" ht="18.75" spans="1:25">
      <c r="A76" s="312"/>
      <c r="B76" s="312"/>
      <c r="C76" s="312"/>
      <c r="D76" s="312"/>
      <c r="E76" s="312"/>
      <c r="F76" s="312"/>
      <c r="G76" s="312"/>
      <c r="H76" s="312"/>
      <c r="I76" s="312"/>
      <c r="J76" s="312"/>
      <c r="K76" s="312"/>
      <c r="L76" s="312"/>
      <c r="M76" s="312"/>
      <c r="N76" s="312"/>
      <c r="O76" s="312"/>
      <c r="P76" s="312"/>
      <c r="Q76" s="312"/>
      <c r="R76" s="312"/>
      <c r="S76" s="312"/>
      <c r="T76" s="312"/>
      <c r="U76" s="312"/>
      <c r="V76" s="312"/>
      <c r="W76" s="312"/>
      <c r="X76" s="312"/>
      <c r="Y76" s="312"/>
    </row>
    <row r="77" ht="18.75" spans="1:25">
      <c r="A77" s="312"/>
      <c r="B77" s="312"/>
      <c r="C77" s="312"/>
      <c r="D77" s="312"/>
      <c r="E77" s="312"/>
      <c r="F77" s="312"/>
      <c r="G77" s="312"/>
      <c r="H77" s="312"/>
      <c r="I77" s="312"/>
      <c r="J77" s="312"/>
      <c r="K77" s="312"/>
      <c r="L77" s="312"/>
      <c r="M77" s="312"/>
      <c r="N77" s="312"/>
      <c r="O77" s="312"/>
      <c r="P77" s="312"/>
      <c r="Q77" s="312"/>
      <c r="R77" s="312"/>
      <c r="S77" s="312"/>
      <c r="T77" s="312"/>
      <c r="U77" s="312"/>
      <c r="V77" s="312"/>
      <c r="W77" s="312"/>
      <c r="X77" s="312"/>
      <c r="Y77" s="312"/>
    </row>
    <row r="78" ht="18.75" spans="1:25">
      <c r="A78" s="312"/>
      <c r="B78" s="312"/>
      <c r="C78" s="312"/>
      <c r="D78" s="312"/>
      <c r="E78" s="312"/>
      <c r="F78" s="312"/>
      <c r="G78" s="312"/>
      <c r="H78" s="312"/>
      <c r="I78" s="312"/>
      <c r="J78" s="312"/>
      <c r="K78" s="312"/>
      <c r="L78" s="312"/>
      <c r="M78" s="312"/>
      <c r="N78" s="312"/>
      <c r="O78" s="312"/>
      <c r="P78" s="312"/>
      <c r="Q78" s="312"/>
      <c r="R78" s="312"/>
      <c r="S78" s="312"/>
      <c r="T78" s="312"/>
      <c r="U78" s="312"/>
      <c r="V78" s="312"/>
      <c r="W78" s="312"/>
      <c r="X78" s="312"/>
      <c r="Y78" s="312"/>
    </row>
    <row r="79" ht="18.75" spans="1:25">
      <c r="A79" s="312"/>
      <c r="B79" s="312"/>
      <c r="C79" s="312"/>
      <c r="D79" s="312"/>
      <c r="E79" s="312"/>
      <c r="F79" s="312"/>
      <c r="G79" s="312"/>
      <c r="H79" s="312"/>
      <c r="I79" s="312"/>
      <c r="J79" s="312"/>
      <c r="K79" s="312"/>
      <c r="L79" s="312"/>
      <c r="M79" s="312"/>
      <c r="N79" s="312"/>
      <c r="O79" s="312"/>
      <c r="P79" s="312"/>
      <c r="Q79" s="312"/>
      <c r="R79" s="312"/>
      <c r="S79" s="312"/>
      <c r="T79" s="312"/>
      <c r="U79" s="312"/>
      <c r="V79" s="312"/>
      <c r="W79" s="312"/>
      <c r="X79" s="312"/>
      <c r="Y79" s="312"/>
    </row>
    <row r="80" ht="18.75" spans="1:25">
      <c r="A80" s="312"/>
      <c r="B80" s="312"/>
      <c r="C80" s="312"/>
      <c r="D80" s="312"/>
      <c r="E80" s="312"/>
      <c r="F80" s="312"/>
      <c r="G80" s="312"/>
      <c r="H80" s="312"/>
      <c r="I80" s="312"/>
      <c r="J80" s="312"/>
      <c r="K80" s="312"/>
      <c r="L80" s="312"/>
      <c r="M80" s="312"/>
      <c r="N80" s="312"/>
      <c r="O80" s="312"/>
      <c r="P80" s="312"/>
      <c r="Q80" s="312"/>
      <c r="R80" s="312"/>
      <c r="S80" s="312"/>
      <c r="T80" s="312"/>
      <c r="U80" s="312"/>
      <c r="V80" s="312"/>
      <c r="W80" s="312"/>
      <c r="X80" s="312"/>
      <c r="Y80" s="312"/>
    </row>
    <row r="81" ht="18.75" spans="1:25">
      <c r="A81" s="312"/>
      <c r="B81" s="312"/>
      <c r="C81" s="312"/>
      <c r="D81" s="312"/>
      <c r="E81" s="312"/>
      <c r="F81" s="312"/>
      <c r="G81" s="312"/>
      <c r="H81" s="312"/>
      <c r="I81" s="312"/>
      <c r="J81" s="312"/>
      <c r="K81" s="312"/>
      <c r="L81" s="312"/>
      <c r="M81" s="312"/>
      <c r="N81" s="312"/>
      <c r="O81" s="312"/>
      <c r="P81" s="312"/>
      <c r="Q81" s="312"/>
      <c r="R81" s="312"/>
      <c r="S81" s="312"/>
      <c r="T81" s="312"/>
      <c r="U81" s="312"/>
      <c r="V81" s="312"/>
      <c r="W81" s="312"/>
      <c r="X81" s="312"/>
      <c r="Y81" s="312"/>
    </row>
    <row r="82" ht="18.75" spans="1:25">
      <c r="A82" s="312"/>
      <c r="B82" s="312"/>
      <c r="C82" s="312"/>
      <c r="D82" s="312"/>
      <c r="E82" s="312"/>
      <c r="F82" s="312"/>
      <c r="G82" s="312"/>
      <c r="H82" s="312"/>
      <c r="I82" s="312"/>
      <c r="J82" s="312"/>
      <c r="K82" s="312"/>
      <c r="L82" s="312"/>
      <c r="M82" s="312"/>
      <c r="N82" s="312"/>
      <c r="O82" s="312"/>
      <c r="P82" s="312"/>
      <c r="Q82" s="312"/>
      <c r="R82" s="312"/>
      <c r="S82" s="312"/>
      <c r="T82" s="312"/>
      <c r="U82" s="312"/>
      <c r="V82" s="312"/>
      <c r="W82" s="312"/>
      <c r="X82" s="312"/>
      <c r="Y82" s="312"/>
    </row>
    <row r="83" ht="18.75" spans="1:25">
      <c r="A83" s="312"/>
      <c r="B83" s="312"/>
      <c r="C83" s="312"/>
      <c r="D83" s="312"/>
      <c r="E83" s="312"/>
      <c r="F83" s="312"/>
      <c r="G83" s="312"/>
      <c r="H83" s="312"/>
      <c r="I83" s="312"/>
      <c r="J83" s="312"/>
      <c r="K83" s="312"/>
      <c r="L83" s="312"/>
      <c r="M83" s="312"/>
      <c r="N83" s="312"/>
      <c r="O83" s="312"/>
      <c r="P83" s="312"/>
      <c r="Q83" s="312"/>
      <c r="R83" s="312"/>
      <c r="S83" s="312"/>
      <c r="T83" s="312"/>
      <c r="U83" s="312"/>
      <c r="V83" s="312"/>
      <c r="W83" s="312"/>
      <c r="X83" s="312"/>
      <c r="Y83" s="312"/>
    </row>
    <row r="84" ht="18.75" spans="1:25">
      <c r="A84" s="312"/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</row>
    <row r="85" ht="18.75" spans="1:25">
      <c r="A85" s="312"/>
      <c r="B85" s="312"/>
      <c r="C85" s="312"/>
      <c r="D85" s="312"/>
      <c r="E85" s="312"/>
      <c r="F85" s="312"/>
      <c r="G85" s="312"/>
      <c r="H85" s="312"/>
      <c r="I85" s="312"/>
      <c r="J85" s="312"/>
      <c r="K85" s="312"/>
      <c r="L85" s="312"/>
      <c r="M85" s="312"/>
      <c r="N85" s="312"/>
      <c r="O85" s="312"/>
      <c r="P85" s="312"/>
      <c r="Q85" s="312"/>
      <c r="R85" s="312"/>
      <c r="S85" s="312"/>
      <c r="T85" s="312"/>
      <c r="U85" s="312"/>
      <c r="V85" s="312"/>
      <c r="W85" s="312"/>
      <c r="X85" s="312"/>
      <c r="Y85" s="312"/>
    </row>
    <row r="86" ht="18.75" spans="1:25">
      <c r="A86" s="312"/>
      <c r="B86" s="312"/>
      <c r="C86" s="312"/>
      <c r="D86" s="312"/>
      <c r="E86" s="312"/>
      <c r="F86" s="312"/>
      <c r="G86" s="312"/>
      <c r="H86" s="312"/>
      <c r="I86" s="312"/>
      <c r="J86" s="312"/>
      <c r="K86" s="312"/>
      <c r="L86" s="312"/>
      <c r="M86" s="312"/>
      <c r="N86" s="312"/>
      <c r="O86" s="312"/>
      <c r="P86" s="312"/>
      <c r="Q86" s="312"/>
      <c r="R86" s="312"/>
      <c r="S86" s="312"/>
      <c r="T86" s="312"/>
      <c r="U86" s="312"/>
      <c r="V86" s="312"/>
      <c r="W86" s="312"/>
      <c r="X86" s="312"/>
      <c r="Y86" s="312"/>
    </row>
    <row r="87" ht="18.75" spans="1:25">
      <c r="A87" s="312"/>
      <c r="B87" s="312"/>
      <c r="C87" s="312"/>
      <c r="D87" s="312"/>
      <c r="E87" s="312"/>
      <c r="F87" s="312"/>
      <c r="G87" s="312"/>
      <c r="H87" s="312"/>
      <c r="I87" s="312"/>
      <c r="J87" s="312"/>
      <c r="K87" s="312"/>
      <c r="L87" s="312"/>
      <c r="M87" s="312"/>
      <c r="N87" s="312"/>
      <c r="O87" s="312"/>
      <c r="P87" s="312"/>
      <c r="Q87" s="312"/>
      <c r="R87" s="312"/>
      <c r="S87" s="312"/>
      <c r="T87" s="312"/>
      <c r="U87" s="312"/>
      <c r="V87" s="312"/>
      <c r="W87" s="312"/>
      <c r="X87" s="312"/>
      <c r="Y87" s="312"/>
    </row>
    <row r="88" ht="18.75" spans="1:25">
      <c r="A88" s="312"/>
      <c r="B88" s="312"/>
      <c r="C88" s="312"/>
      <c r="D88" s="312"/>
      <c r="E88" s="312"/>
      <c r="F88" s="312"/>
      <c r="G88" s="312"/>
      <c r="H88" s="312"/>
      <c r="I88" s="312"/>
      <c r="J88" s="312"/>
      <c r="K88" s="312"/>
      <c r="L88" s="312"/>
      <c r="M88" s="312"/>
      <c r="N88" s="312"/>
      <c r="O88" s="312"/>
      <c r="P88" s="312"/>
      <c r="Q88" s="312"/>
      <c r="R88" s="312"/>
      <c r="S88" s="312"/>
      <c r="T88" s="312"/>
      <c r="U88" s="312"/>
      <c r="V88" s="312"/>
      <c r="W88" s="312"/>
      <c r="X88" s="312"/>
      <c r="Y88" s="312"/>
    </row>
    <row r="89" ht="18.75" spans="1:25">
      <c r="A89" s="312"/>
      <c r="B89" s="312"/>
      <c r="C89" s="312"/>
      <c r="D89" s="312"/>
      <c r="E89" s="312"/>
      <c r="F89" s="312"/>
      <c r="G89" s="312"/>
      <c r="H89" s="312"/>
      <c r="I89" s="312"/>
      <c r="J89" s="312"/>
      <c r="K89" s="312"/>
      <c r="L89" s="312"/>
      <c r="M89" s="312"/>
      <c r="N89" s="312"/>
      <c r="O89" s="312"/>
      <c r="P89" s="312"/>
      <c r="Q89" s="312"/>
      <c r="R89" s="312"/>
      <c r="S89" s="312"/>
      <c r="T89" s="312"/>
      <c r="U89" s="312"/>
      <c r="V89" s="312"/>
      <c r="W89" s="312"/>
      <c r="X89" s="312"/>
      <c r="Y89" s="312"/>
    </row>
    <row r="90" ht="18.75" spans="1:25">
      <c r="A90" s="312"/>
      <c r="B90" s="312"/>
      <c r="C90" s="312"/>
      <c r="D90" s="312"/>
      <c r="E90" s="312"/>
      <c r="F90" s="312"/>
      <c r="G90" s="312"/>
      <c r="H90" s="312"/>
      <c r="I90" s="312"/>
      <c r="J90" s="312"/>
      <c r="K90" s="312"/>
      <c r="L90" s="312"/>
      <c r="M90" s="312"/>
      <c r="N90" s="312"/>
      <c r="O90" s="312"/>
      <c r="P90" s="312"/>
      <c r="Q90" s="312"/>
      <c r="R90" s="312"/>
      <c r="S90" s="312"/>
      <c r="T90" s="312"/>
      <c r="U90" s="312"/>
      <c r="V90" s="312"/>
      <c r="W90" s="312"/>
      <c r="X90" s="312"/>
      <c r="Y90" s="312"/>
    </row>
    <row r="91" ht="18.75" spans="1:25">
      <c r="A91" s="312"/>
      <c r="B91" s="312"/>
      <c r="C91" s="312"/>
      <c r="D91" s="312"/>
      <c r="E91" s="312"/>
      <c r="F91" s="312"/>
      <c r="G91" s="312"/>
      <c r="H91" s="312"/>
      <c r="I91" s="312"/>
      <c r="J91" s="312"/>
      <c r="K91" s="312"/>
      <c r="L91" s="312"/>
      <c r="M91" s="312"/>
      <c r="N91" s="312"/>
      <c r="O91" s="312"/>
      <c r="P91" s="312"/>
      <c r="Q91" s="312"/>
      <c r="R91" s="312"/>
      <c r="S91" s="312"/>
      <c r="T91" s="312"/>
      <c r="U91" s="312"/>
      <c r="V91" s="312"/>
      <c r="W91" s="312"/>
      <c r="X91" s="312"/>
      <c r="Y91" s="312"/>
    </row>
    <row r="92" ht="18.75" spans="1:25">
      <c r="A92" s="312"/>
      <c r="B92" s="312"/>
      <c r="C92" s="312"/>
      <c r="D92" s="312"/>
      <c r="E92" s="312"/>
      <c r="F92" s="312"/>
      <c r="G92" s="312"/>
      <c r="H92" s="312"/>
      <c r="I92" s="312"/>
      <c r="J92" s="312"/>
      <c r="K92" s="312"/>
      <c r="L92" s="312"/>
      <c r="M92" s="312"/>
      <c r="N92" s="312"/>
      <c r="O92" s="312"/>
      <c r="P92" s="312"/>
      <c r="Q92" s="312"/>
      <c r="R92" s="312"/>
      <c r="S92" s="312"/>
      <c r="T92" s="312"/>
      <c r="U92" s="312"/>
      <c r="V92" s="312"/>
      <c r="W92" s="312"/>
      <c r="X92" s="312"/>
      <c r="Y92" s="312"/>
    </row>
    <row r="93" ht="18.75" spans="1:25">
      <c r="A93" s="312"/>
      <c r="B93" s="312"/>
      <c r="C93" s="312"/>
      <c r="D93" s="312"/>
      <c r="E93" s="312"/>
      <c r="F93" s="312"/>
      <c r="G93" s="312"/>
      <c r="H93" s="312"/>
      <c r="I93" s="312"/>
      <c r="J93" s="312"/>
      <c r="K93" s="312"/>
      <c r="L93" s="312"/>
      <c r="M93" s="312"/>
      <c r="N93" s="312"/>
      <c r="O93" s="312"/>
      <c r="P93" s="312"/>
      <c r="Q93" s="312"/>
      <c r="R93" s="312"/>
      <c r="S93" s="312"/>
      <c r="T93" s="312"/>
      <c r="U93" s="312"/>
      <c r="V93" s="312"/>
      <c r="W93" s="312"/>
      <c r="X93" s="312"/>
      <c r="Y93" s="312"/>
    </row>
    <row r="94" ht="18.75" spans="1:25">
      <c r="A94" s="312"/>
      <c r="B94" s="312"/>
      <c r="C94" s="312"/>
      <c r="D94" s="312"/>
      <c r="E94" s="312"/>
      <c r="F94" s="312"/>
      <c r="G94" s="312"/>
      <c r="H94" s="312"/>
      <c r="I94" s="312"/>
      <c r="J94" s="312"/>
      <c r="K94" s="312"/>
      <c r="L94" s="312"/>
      <c r="M94" s="312"/>
      <c r="N94" s="312"/>
      <c r="O94" s="312"/>
      <c r="P94" s="312"/>
      <c r="Q94" s="312"/>
      <c r="R94" s="312"/>
      <c r="S94" s="312"/>
      <c r="T94" s="312"/>
      <c r="U94" s="312"/>
      <c r="V94" s="312"/>
      <c r="W94" s="312"/>
      <c r="X94" s="312"/>
      <c r="Y94" s="312"/>
    </row>
    <row r="95" ht="18.75" spans="1:25">
      <c r="A95" s="312"/>
      <c r="B95" s="312"/>
      <c r="C95" s="312"/>
      <c r="D95" s="312"/>
      <c r="E95" s="312"/>
      <c r="F95" s="312"/>
      <c r="G95" s="312"/>
      <c r="H95" s="312"/>
      <c r="I95" s="312"/>
      <c r="J95" s="312"/>
      <c r="K95" s="312"/>
      <c r="L95" s="312"/>
      <c r="M95" s="312"/>
      <c r="N95" s="312"/>
      <c r="O95" s="312"/>
      <c r="P95" s="312"/>
      <c r="Q95" s="312"/>
      <c r="R95" s="312"/>
      <c r="S95" s="312"/>
      <c r="T95" s="312"/>
      <c r="U95" s="312"/>
      <c r="V95" s="312"/>
      <c r="W95" s="312"/>
      <c r="X95" s="312"/>
      <c r="Y95" s="312"/>
    </row>
    <row r="96" ht="18.75" spans="1:25">
      <c r="A96" s="312"/>
      <c r="B96" s="312"/>
      <c r="C96" s="312"/>
      <c r="D96" s="312"/>
      <c r="E96" s="312"/>
      <c r="F96" s="312"/>
      <c r="G96" s="312"/>
      <c r="H96" s="312"/>
      <c r="I96" s="312"/>
      <c r="J96" s="312"/>
      <c r="K96" s="312"/>
      <c r="L96" s="312"/>
      <c r="M96" s="312"/>
      <c r="N96" s="312"/>
      <c r="O96" s="312"/>
      <c r="P96" s="312"/>
      <c r="Q96" s="312"/>
      <c r="R96" s="312"/>
      <c r="S96" s="312"/>
      <c r="T96" s="312"/>
      <c r="U96" s="312"/>
      <c r="V96" s="312"/>
      <c r="W96" s="312"/>
      <c r="X96" s="312"/>
      <c r="Y96" s="312"/>
    </row>
    <row r="97" ht="18.75" spans="1:25">
      <c r="A97" s="312"/>
      <c r="B97" s="312"/>
      <c r="C97" s="312"/>
      <c r="D97" s="312"/>
      <c r="E97" s="312"/>
      <c r="F97" s="312"/>
      <c r="G97" s="312"/>
      <c r="H97" s="312"/>
      <c r="I97" s="312"/>
      <c r="J97" s="312"/>
      <c r="K97" s="312"/>
      <c r="L97" s="312"/>
      <c r="M97" s="312"/>
      <c r="N97" s="312"/>
      <c r="O97" s="312"/>
      <c r="P97" s="312"/>
      <c r="Q97" s="312"/>
      <c r="R97" s="312"/>
      <c r="S97" s="312"/>
      <c r="T97" s="312"/>
      <c r="U97" s="312"/>
      <c r="V97" s="312"/>
      <c r="W97" s="312"/>
      <c r="X97" s="312"/>
      <c r="Y97" s="312"/>
    </row>
    <row r="98" ht="18.75" spans="1:25">
      <c r="A98" s="312"/>
      <c r="B98" s="312"/>
      <c r="C98" s="312"/>
      <c r="D98" s="312"/>
      <c r="E98" s="312"/>
      <c r="F98" s="312"/>
      <c r="G98" s="312"/>
      <c r="H98" s="312"/>
      <c r="I98" s="312"/>
      <c r="J98" s="312"/>
      <c r="K98" s="312"/>
      <c r="L98" s="312"/>
      <c r="M98" s="312"/>
      <c r="N98" s="312"/>
      <c r="O98" s="312"/>
      <c r="P98" s="312"/>
      <c r="Q98" s="312"/>
      <c r="R98" s="312"/>
      <c r="S98" s="312"/>
      <c r="T98" s="312"/>
      <c r="U98" s="312"/>
      <c r="V98" s="312"/>
      <c r="W98" s="312"/>
      <c r="X98" s="312"/>
      <c r="Y98" s="312"/>
    </row>
    <row r="99" ht="18.75" spans="1:25">
      <c r="A99" s="312"/>
      <c r="B99" s="312"/>
      <c r="C99" s="312"/>
      <c r="D99" s="312"/>
      <c r="E99" s="312"/>
      <c r="F99" s="312"/>
      <c r="G99" s="312"/>
      <c r="H99" s="312"/>
      <c r="I99" s="312"/>
      <c r="J99" s="312"/>
      <c r="K99" s="312"/>
      <c r="L99" s="312"/>
      <c r="M99" s="312"/>
      <c r="N99" s="312"/>
      <c r="O99" s="312"/>
      <c r="P99" s="312"/>
      <c r="Q99" s="312"/>
      <c r="R99" s="312"/>
      <c r="S99" s="312"/>
      <c r="T99" s="312"/>
      <c r="U99" s="312"/>
      <c r="V99" s="312"/>
      <c r="W99" s="312"/>
      <c r="X99" s="312"/>
      <c r="Y99" s="312"/>
    </row>
    <row r="100" ht="18.75" spans="1:25">
      <c r="A100" s="312"/>
      <c r="B100" s="312"/>
      <c r="C100" s="312"/>
      <c r="D100" s="312"/>
      <c r="E100" s="312"/>
      <c r="F100" s="312"/>
      <c r="G100" s="312"/>
      <c r="H100" s="312"/>
      <c r="I100" s="312"/>
      <c r="J100" s="312"/>
      <c r="K100" s="312"/>
      <c r="L100" s="312"/>
      <c r="M100" s="312"/>
      <c r="N100" s="312"/>
      <c r="O100" s="312"/>
      <c r="P100" s="312"/>
      <c r="Q100" s="312"/>
      <c r="R100" s="312"/>
      <c r="S100" s="312"/>
      <c r="T100" s="312"/>
      <c r="U100" s="312"/>
      <c r="V100" s="312"/>
      <c r="W100" s="312"/>
      <c r="X100" s="312"/>
      <c r="Y100" s="312"/>
    </row>
    <row r="101" ht="18.75" spans="1:25">
      <c r="A101" s="312"/>
      <c r="B101" s="312"/>
      <c r="C101" s="312"/>
      <c r="D101" s="312"/>
      <c r="E101" s="312"/>
      <c r="F101" s="312"/>
      <c r="G101" s="312"/>
      <c r="H101" s="312"/>
      <c r="I101" s="312"/>
      <c r="J101" s="312"/>
      <c r="K101" s="312"/>
      <c r="L101" s="312"/>
      <c r="M101" s="312"/>
      <c r="N101" s="312"/>
      <c r="O101" s="312"/>
      <c r="P101" s="312"/>
      <c r="Q101" s="312"/>
      <c r="R101" s="312"/>
      <c r="S101" s="312"/>
      <c r="T101" s="312"/>
      <c r="U101" s="312"/>
      <c r="V101" s="312"/>
      <c r="W101" s="312"/>
      <c r="X101" s="312"/>
      <c r="Y101" s="312"/>
    </row>
    <row r="102" ht="18.75" spans="1:25">
      <c r="A102" s="312"/>
      <c r="B102" s="312"/>
      <c r="C102" s="312"/>
      <c r="D102" s="312"/>
      <c r="E102" s="312"/>
      <c r="F102" s="312"/>
      <c r="G102" s="312"/>
      <c r="H102" s="312"/>
      <c r="I102" s="312"/>
      <c r="J102" s="312"/>
      <c r="K102" s="312"/>
      <c r="L102" s="312"/>
      <c r="M102" s="312"/>
      <c r="N102" s="312"/>
      <c r="O102" s="312"/>
      <c r="P102" s="312"/>
      <c r="Q102" s="312"/>
      <c r="R102" s="312"/>
      <c r="S102" s="312"/>
      <c r="T102" s="312"/>
      <c r="U102" s="312"/>
      <c r="V102" s="312"/>
      <c r="W102" s="312"/>
      <c r="X102" s="312"/>
      <c r="Y102" s="312"/>
    </row>
    <row r="103" ht="18.75" spans="1:25">
      <c r="A103" s="312"/>
      <c r="B103" s="312"/>
      <c r="C103" s="312"/>
      <c r="D103" s="312"/>
      <c r="E103" s="312"/>
      <c r="F103" s="312"/>
      <c r="G103" s="312"/>
      <c r="H103" s="312"/>
      <c r="I103" s="312"/>
      <c r="J103" s="312"/>
      <c r="K103" s="312"/>
      <c r="L103" s="312"/>
      <c r="M103" s="312"/>
      <c r="N103" s="312"/>
      <c r="O103" s="312"/>
      <c r="P103" s="312"/>
      <c r="Q103" s="312"/>
      <c r="R103" s="312"/>
      <c r="S103" s="312"/>
      <c r="T103" s="312"/>
      <c r="U103" s="312"/>
      <c r="V103" s="312"/>
      <c r="W103" s="312"/>
      <c r="X103" s="312"/>
      <c r="Y103" s="312"/>
    </row>
    <row r="104" ht="18.75" spans="1:25">
      <c r="A104" s="312"/>
      <c r="B104" s="312"/>
      <c r="C104" s="312"/>
      <c r="D104" s="312"/>
      <c r="E104" s="312"/>
      <c r="F104" s="312"/>
      <c r="G104" s="312"/>
      <c r="H104" s="312"/>
      <c r="I104" s="312"/>
      <c r="J104" s="312"/>
      <c r="K104" s="312"/>
      <c r="L104" s="312"/>
      <c r="M104" s="312"/>
      <c r="N104" s="312"/>
      <c r="O104" s="312"/>
      <c r="P104" s="312"/>
      <c r="Q104" s="312"/>
      <c r="R104" s="312"/>
      <c r="S104" s="312"/>
      <c r="T104" s="312"/>
      <c r="U104" s="312"/>
      <c r="V104" s="312"/>
      <c r="W104" s="312"/>
      <c r="X104" s="312"/>
      <c r="Y104" s="312"/>
    </row>
    <row r="105" ht="18.75" spans="1:25">
      <c r="A105" s="312"/>
      <c r="B105" s="312"/>
      <c r="C105" s="312"/>
      <c r="D105" s="312"/>
      <c r="E105" s="312"/>
      <c r="F105" s="312"/>
      <c r="G105" s="312"/>
      <c r="H105" s="312"/>
      <c r="I105" s="312"/>
      <c r="J105" s="312"/>
      <c r="K105" s="312"/>
      <c r="L105" s="312"/>
      <c r="M105" s="312"/>
      <c r="N105" s="312"/>
      <c r="O105" s="312"/>
      <c r="P105" s="312"/>
      <c r="Q105" s="312"/>
      <c r="R105" s="312"/>
      <c r="S105" s="312"/>
      <c r="T105" s="312"/>
      <c r="U105" s="312"/>
      <c r="V105" s="312"/>
      <c r="W105" s="312"/>
      <c r="X105" s="312"/>
      <c r="Y105" s="312"/>
    </row>
    <row r="106" ht="18.75" spans="1:25">
      <c r="A106" s="312"/>
      <c r="B106" s="312"/>
      <c r="C106" s="312"/>
      <c r="D106" s="312"/>
      <c r="E106" s="312"/>
      <c r="F106" s="312"/>
      <c r="G106" s="312"/>
      <c r="H106" s="312"/>
      <c r="I106" s="312"/>
      <c r="J106" s="312"/>
      <c r="K106" s="312"/>
      <c r="L106" s="312"/>
      <c r="M106" s="312"/>
      <c r="N106" s="312"/>
      <c r="O106" s="312"/>
      <c r="P106" s="312"/>
      <c r="Q106" s="312"/>
      <c r="R106" s="312"/>
      <c r="S106" s="312"/>
      <c r="T106" s="312"/>
      <c r="U106" s="312"/>
      <c r="V106" s="312"/>
      <c r="W106" s="312"/>
      <c r="X106" s="312"/>
      <c r="Y106" s="312"/>
    </row>
    <row r="107" ht="18.75" spans="1:25">
      <c r="A107" s="312"/>
      <c r="B107" s="312"/>
      <c r="C107" s="312"/>
      <c r="D107" s="312"/>
      <c r="E107" s="312"/>
      <c r="F107" s="312"/>
      <c r="G107" s="312"/>
      <c r="H107" s="312"/>
      <c r="I107" s="312"/>
      <c r="J107" s="312"/>
      <c r="K107" s="312"/>
      <c r="L107" s="312"/>
      <c r="M107" s="312"/>
      <c r="N107" s="312"/>
      <c r="O107" s="312"/>
      <c r="P107" s="312"/>
      <c r="Q107" s="312"/>
      <c r="R107" s="312"/>
      <c r="S107" s="312"/>
      <c r="T107" s="312"/>
      <c r="U107" s="312"/>
      <c r="V107" s="312"/>
      <c r="W107" s="312"/>
      <c r="X107" s="312"/>
      <c r="Y107" s="312"/>
    </row>
    <row r="108" ht="18.75" spans="1:25">
      <c r="A108" s="312"/>
      <c r="B108" s="312"/>
      <c r="C108" s="312"/>
      <c r="D108" s="312"/>
      <c r="E108" s="312"/>
      <c r="F108" s="312"/>
      <c r="G108" s="312"/>
      <c r="H108" s="312"/>
      <c r="I108" s="312"/>
      <c r="J108" s="312"/>
      <c r="K108" s="312"/>
      <c r="L108" s="312"/>
      <c r="M108" s="312"/>
      <c r="N108" s="312"/>
      <c r="O108" s="312"/>
      <c r="P108" s="312"/>
      <c r="Q108" s="312"/>
      <c r="R108" s="312"/>
      <c r="S108" s="312"/>
      <c r="T108" s="312"/>
      <c r="U108" s="312"/>
      <c r="V108" s="312"/>
      <c r="W108" s="312"/>
      <c r="X108" s="312"/>
      <c r="Y108" s="312"/>
    </row>
    <row r="109" ht="18.75" spans="1:25">
      <c r="A109" s="312"/>
      <c r="B109" s="312"/>
      <c r="C109" s="312"/>
      <c r="D109" s="312"/>
      <c r="E109" s="312"/>
      <c r="F109" s="312"/>
      <c r="G109" s="312"/>
      <c r="H109" s="312"/>
      <c r="I109" s="312"/>
      <c r="J109" s="312"/>
      <c r="K109" s="312"/>
      <c r="L109" s="312"/>
      <c r="M109" s="312"/>
      <c r="N109" s="312"/>
      <c r="O109" s="312"/>
      <c r="P109" s="312"/>
      <c r="Q109" s="312"/>
      <c r="R109" s="312"/>
      <c r="S109" s="312"/>
      <c r="T109" s="312"/>
      <c r="U109" s="312"/>
      <c r="V109" s="312"/>
      <c r="W109" s="312"/>
      <c r="X109" s="312"/>
      <c r="Y109" s="312"/>
    </row>
    <row r="110" ht="18.75" spans="1:25">
      <c r="A110" s="312"/>
      <c r="B110" s="312"/>
      <c r="C110" s="312"/>
      <c r="D110" s="312"/>
      <c r="E110" s="312"/>
      <c r="F110" s="312"/>
      <c r="G110" s="312"/>
      <c r="H110" s="312"/>
      <c r="I110" s="312"/>
      <c r="J110" s="312"/>
      <c r="K110" s="312"/>
      <c r="L110" s="312"/>
      <c r="M110" s="312"/>
      <c r="N110" s="312"/>
      <c r="O110" s="312"/>
      <c r="P110" s="312"/>
      <c r="Q110" s="312"/>
      <c r="R110" s="312"/>
      <c r="S110" s="312"/>
      <c r="T110" s="312"/>
      <c r="U110" s="312"/>
      <c r="V110" s="312"/>
      <c r="W110" s="312"/>
      <c r="X110" s="312"/>
      <c r="Y110" s="312"/>
    </row>
    <row r="111" ht="18.75" spans="1:25">
      <c r="A111" s="312"/>
      <c r="B111" s="312"/>
      <c r="C111" s="312"/>
      <c r="D111" s="312"/>
      <c r="E111" s="312"/>
      <c r="F111" s="312"/>
      <c r="G111" s="312"/>
      <c r="H111" s="312"/>
      <c r="I111" s="312"/>
      <c r="J111" s="312"/>
      <c r="K111" s="312"/>
      <c r="L111" s="312"/>
      <c r="M111" s="312"/>
      <c r="N111" s="312"/>
      <c r="O111" s="312"/>
      <c r="P111" s="312"/>
      <c r="Q111" s="312"/>
      <c r="R111" s="312"/>
      <c r="S111" s="312"/>
      <c r="T111" s="312"/>
      <c r="U111" s="312"/>
      <c r="V111" s="312"/>
      <c r="W111" s="312"/>
      <c r="X111" s="312"/>
      <c r="Y111" s="312"/>
    </row>
    <row r="112" ht="18.75" spans="1:25">
      <c r="A112" s="312"/>
      <c r="B112" s="312"/>
      <c r="C112" s="312"/>
      <c r="D112" s="312"/>
      <c r="E112" s="312"/>
      <c r="F112" s="312"/>
      <c r="G112" s="312"/>
      <c r="H112" s="312"/>
      <c r="I112" s="312"/>
      <c r="J112" s="312"/>
      <c r="K112" s="312"/>
      <c r="L112" s="312"/>
      <c r="M112" s="312"/>
      <c r="N112" s="312"/>
      <c r="O112" s="312"/>
      <c r="P112" s="312"/>
      <c r="Q112" s="312"/>
      <c r="R112" s="312"/>
      <c r="S112" s="312"/>
      <c r="T112" s="312"/>
      <c r="U112" s="312"/>
      <c r="V112" s="312"/>
      <c r="W112" s="312"/>
      <c r="X112" s="312"/>
      <c r="Y112" s="312"/>
    </row>
    <row r="113" ht="18.75" spans="1:25">
      <c r="A113" s="312"/>
      <c r="B113" s="312"/>
      <c r="C113" s="312"/>
      <c r="D113" s="312"/>
      <c r="E113" s="312"/>
      <c r="F113" s="312"/>
      <c r="G113" s="312"/>
      <c r="H113" s="312"/>
      <c r="I113" s="312"/>
      <c r="J113" s="312"/>
      <c r="K113" s="312"/>
      <c r="L113" s="312"/>
      <c r="M113" s="312"/>
      <c r="N113" s="312"/>
      <c r="O113" s="312"/>
      <c r="P113" s="312"/>
      <c r="Q113" s="312"/>
      <c r="R113" s="312"/>
      <c r="S113" s="312"/>
      <c r="T113" s="312"/>
      <c r="U113" s="312"/>
      <c r="V113" s="312"/>
      <c r="W113" s="312"/>
      <c r="X113" s="312"/>
      <c r="Y113" s="312"/>
    </row>
    <row r="114" ht="18.75" spans="1:25">
      <c r="A114" s="312"/>
      <c r="B114" s="312"/>
      <c r="C114" s="312"/>
      <c r="D114" s="312"/>
      <c r="E114" s="312"/>
      <c r="F114" s="312"/>
      <c r="G114" s="312"/>
      <c r="H114" s="312"/>
      <c r="I114" s="312"/>
      <c r="J114" s="312"/>
      <c r="K114" s="312"/>
      <c r="L114" s="312"/>
      <c r="M114" s="312"/>
      <c r="N114" s="312"/>
      <c r="O114" s="312"/>
      <c r="P114" s="312"/>
      <c r="Q114" s="312"/>
      <c r="R114" s="312"/>
      <c r="S114" s="312"/>
      <c r="T114" s="312"/>
      <c r="U114" s="312"/>
      <c r="V114" s="312"/>
      <c r="W114" s="312"/>
      <c r="X114" s="312"/>
      <c r="Y114" s="312"/>
    </row>
    <row r="115" ht="18.75" spans="1:25">
      <c r="A115" s="312"/>
      <c r="B115" s="312"/>
      <c r="C115" s="312"/>
      <c r="D115" s="312"/>
      <c r="E115" s="312"/>
      <c r="F115" s="312"/>
      <c r="G115" s="312"/>
      <c r="H115" s="312"/>
      <c r="I115" s="312"/>
      <c r="J115" s="312"/>
      <c r="K115" s="312"/>
      <c r="L115" s="312"/>
      <c r="M115" s="312"/>
      <c r="N115" s="312"/>
      <c r="O115" s="312"/>
      <c r="P115" s="312"/>
      <c r="Q115" s="312"/>
      <c r="R115" s="312"/>
      <c r="S115" s="312"/>
      <c r="T115" s="312"/>
      <c r="U115" s="312"/>
      <c r="V115" s="312"/>
      <c r="W115" s="312"/>
      <c r="X115" s="312"/>
      <c r="Y115" s="312"/>
    </row>
    <row r="116" ht="18.75" spans="1:25">
      <c r="A116" s="312"/>
      <c r="B116" s="312"/>
      <c r="C116" s="312"/>
      <c r="D116" s="312"/>
      <c r="E116" s="312"/>
      <c r="F116" s="312"/>
      <c r="G116" s="312"/>
      <c r="H116" s="312"/>
      <c r="I116" s="312"/>
      <c r="J116" s="312"/>
      <c r="K116" s="312"/>
      <c r="L116" s="312"/>
      <c r="M116" s="312"/>
      <c r="N116" s="312"/>
      <c r="O116" s="312"/>
      <c r="P116" s="312"/>
      <c r="Q116" s="312"/>
      <c r="R116" s="312"/>
      <c r="S116" s="312"/>
      <c r="T116" s="312"/>
      <c r="U116" s="312"/>
      <c r="V116" s="312"/>
      <c r="W116" s="312"/>
      <c r="X116" s="312"/>
      <c r="Y116" s="312"/>
    </row>
    <row r="117" ht="18.75" spans="1:25">
      <c r="A117" s="312"/>
      <c r="B117" s="312"/>
      <c r="C117" s="312"/>
      <c r="D117" s="312"/>
      <c r="E117" s="312"/>
      <c r="F117" s="312"/>
      <c r="G117" s="312"/>
      <c r="H117" s="312"/>
      <c r="I117" s="312"/>
      <c r="J117" s="312"/>
      <c r="K117" s="312"/>
      <c r="L117" s="312"/>
      <c r="M117" s="312"/>
      <c r="N117" s="312"/>
      <c r="O117" s="312"/>
      <c r="P117" s="312"/>
      <c r="Q117" s="312"/>
      <c r="R117" s="312"/>
      <c r="S117" s="312"/>
      <c r="T117" s="312"/>
      <c r="U117" s="312"/>
      <c r="V117" s="312"/>
      <c r="W117" s="312"/>
      <c r="X117" s="312"/>
      <c r="Y117" s="312"/>
    </row>
    <row r="118" ht="18.75" spans="1:25">
      <c r="A118" s="312"/>
      <c r="B118" s="312"/>
      <c r="C118" s="312"/>
      <c r="D118" s="312"/>
      <c r="E118" s="312"/>
      <c r="F118" s="312"/>
      <c r="G118" s="312"/>
      <c r="H118" s="312"/>
      <c r="I118" s="312"/>
      <c r="J118" s="312"/>
      <c r="K118" s="312"/>
      <c r="L118" s="312"/>
      <c r="M118" s="312"/>
      <c r="N118" s="312"/>
      <c r="O118" s="312"/>
      <c r="P118" s="312"/>
      <c r="Q118" s="312"/>
      <c r="R118" s="312"/>
      <c r="S118" s="312"/>
      <c r="T118" s="312"/>
      <c r="U118" s="312"/>
      <c r="V118" s="312"/>
      <c r="W118" s="312"/>
      <c r="X118" s="312"/>
      <c r="Y118" s="312"/>
    </row>
    <row r="119" ht="18.75" spans="1:25">
      <c r="A119" s="312"/>
      <c r="B119" s="312"/>
      <c r="C119" s="312"/>
      <c r="D119" s="312"/>
      <c r="E119" s="312"/>
      <c r="F119" s="312"/>
      <c r="G119" s="312"/>
      <c r="H119" s="312"/>
      <c r="I119" s="312"/>
      <c r="J119" s="312"/>
      <c r="K119" s="312"/>
      <c r="L119" s="312"/>
      <c r="M119" s="312"/>
      <c r="N119" s="312"/>
      <c r="O119" s="312"/>
      <c r="P119" s="312"/>
      <c r="Q119" s="312"/>
      <c r="R119" s="312"/>
      <c r="S119" s="312"/>
      <c r="T119" s="312"/>
      <c r="U119" s="312"/>
      <c r="V119" s="312"/>
      <c r="W119" s="312"/>
      <c r="X119" s="312"/>
      <c r="Y119" s="312"/>
    </row>
    <row r="120" ht="18.75" spans="1:25">
      <c r="A120" s="312"/>
      <c r="B120" s="312"/>
      <c r="C120" s="312"/>
      <c r="D120" s="312"/>
      <c r="E120" s="312"/>
      <c r="F120" s="312"/>
      <c r="G120" s="312"/>
      <c r="H120" s="312"/>
      <c r="I120" s="312"/>
      <c r="J120" s="312"/>
      <c r="K120" s="312"/>
      <c r="L120" s="312"/>
      <c r="M120" s="312"/>
      <c r="N120" s="312"/>
      <c r="O120" s="312"/>
      <c r="P120" s="312"/>
      <c r="Q120" s="312"/>
      <c r="R120" s="312"/>
      <c r="S120" s="312"/>
      <c r="T120" s="312"/>
      <c r="U120" s="312"/>
      <c r="V120" s="312"/>
      <c r="W120" s="312"/>
      <c r="X120" s="312"/>
      <c r="Y120" s="312"/>
    </row>
    <row r="121" ht="18.75" spans="1:25">
      <c r="A121" s="312"/>
      <c r="B121" s="312"/>
      <c r="C121" s="312"/>
      <c r="D121" s="312"/>
      <c r="E121" s="312"/>
      <c r="F121" s="312"/>
      <c r="G121" s="312"/>
      <c r="H121" s="312"/>
      <c r="I121" s="312"/>
      <c r="J121" s="312"/>
      <c r="K121" s="312"/>
      <c r="L121" s="312"/>
      <c r="M121" s="312"/>
      <c r="N121" s="312"/>
      <c r="O121" s="312"/>
      <c r="P121" s="312"/>
      <c r="Q121" s="312"/>
      <c r="R121" s="312"/>
      <c r="S121" s="312"/>
      <c r="T121" s="312"/>
      <c r="U121" s="312"/>
      <c r="V121" s="312"/>
      <c r="W121" s="312"/>
      <c r="X121" s="312"/>
      <c r="Y121" s="312"/>
    </row>
    <row r="122" ht="18.75" spans="1:25">
      <c r="A122" s="312"/>
      <c r="B122" s="312"/>
      <c r="C122" s="312"/>
      <c r="D122" s="312"/>
      <c r="E122" s="312"/>
      <c r="F122" s="312"/>
      <c r="G122" s="312"/>
      <c r="H122" s="312"/>
      <c r="I122" s="312"/>
      <c r="J122" s="312"/>
      <c r="K122" s="312"/>
      <c r="L122" s="312"/>
      <c r="M122" s="312"/>
      <c r="N122" s="312"/>
      <c r="O122" s="312"/>
      <c r="P122" s="312"/>
      <c r="Q122" s="312"/>
      <c r="R122" s="312"/>
      <c r="S122" s="312"/>
      <c r="T122" s="312"/>
      <c r="U122" s="312"/>
      <c r="V122" s="312"/>
      <c r="W122" s="312"/>
      <c r="X122" s="312"/>
      <c r="Y122" s="312"/>
    </row>
    <row r="123" ht="18.75" spans="1:25">
      <c r="A123" s="312"/>
      <c r="B123" s="312"/>
      <c r="C123" s="312"/>
      <c r="D123" s="312"/>
      <c r="E123" s="312"/>
      <c r="F123" s="312"/>
      <c r="G123" s="312"/>
      <c r="H123" s="312"/>
      <c r="I123" s="312"/>
      <c r="J123" s="312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2"/>
      <c r="X123" s="312"/>
      <c r="Y123" s="312"/>
    </row>
    <row r="124" ht="18.75" spans="1:25">
      <c r="A124" s="312"/>
      <c r="B124" s="312"/>
      <c r="C124" s="312"/>
      <c r="D124" s="312"/>
      <c r="E124" s="312"/>
      <c r="F124" s="312"/>
      <c r="G124" s="312"/>
      <c r="H124" s="312"/>
      <c r="I124" s="312"/>
      <c r="J124" s="312"/>
      <c r="K124" s="312"/>
      <c r="L124" s="312"/>
      <c r="M124" s="312"/>
      <c r="N124" s="312"/>
      <c r="O124" s="312"/>
      <c r="P124" s="312"/>
      <c r="Q124" s="312"/>
      <c r="R124" s="312"/>
      <c r="S124" s="312"/>
      <c r="T124" s="312"/>
      <c r="U124" s="312"/>
      <c r="V124" s="312"/>
      <c r="W124" s="312"/>
      <c r="X124" s="312"/>
      <c r="Y124" s="312"/>
    </row>
    <row r="125" ht="18.75" spans="1:25">
      <c r="A125" s="312"/>
      <c r="B125" s="312"/>
      <c r="C125" s="312"/>
      <c r="D125" s="312"/>
      <c r="E125" s="312"/>
      <c r="F125" s="312"/>
      <c r="G125" s="312"/>
      <c r="H125" s="312"/>
      <c r="I125" s="312"/>
      <c r="J125" s="312"/>
      <c r="K125" s="312"/>
      <c r="L125" s="312"/>
      <c r="M125" s="312"/>
      <c r="N125" s="312"/>
      <c r="O125" s="312"/>
      <c r="P125" s="312"/>
      <c r="Q125" s="312"/>
      <c r="R125" s="312"/>
      <c r="S125" s="312"/>
      <c r="T125" s="312"/>
      <c r="U125" s="312"/>
      <c r="V125" s="312"/>
      <c r="W125" s="312"/>
      <c r="X125" s="312"/>
      <c r="Y125" s="312"/>
    </row>
    <row r="126" ht="18.75" spans="1:25">
      <c r="A126" s="312"/>
      <c r="B126" s="312"/>
      <c r="C126" s="312"/>
      <c r="D126" s="312"/>
      <c r="E126" s="312"/>
      <c r="F126" s="312"/>
      <c r="G126" s="312"/>
      <c r="H126" s="312"/>
      <c r="I126" s="312"/>
      <c r="J126" s="312"/>
      <c r="K126" s="312"/>
      <c r="L126" s="312"/>
      <c r="M126" s="312"/>
      <c r="N126" s="312"/>
      <c r="O126" s="312"/>
      <c r="P126" s="312"/>
      <c r="Q126" s="312"/>
      <c r="R126" s="312"/>
      <c r="S126" s="312"/>
      <c r="T126" s="312"/>
      <c r="U126" s="312"/>
      <c r="V126" s="312"/>
      <c r="W126" s="312"/>
      <c r="X126" s="312"/>
      <c r="Y126" s="312"/>
    </row>
    <row r="127" ht="18.75" spans="1:25">
      <c r="A127" s="312"/>
      <c r="B127" s="312"/>
      <c r="C127" s="312"/>
      <c r="D127" s="312"/>
      <c r="E127" s="312"/>
      <c r="F127" s="312"/>
      <c r="G127" s="312"/>
      <c r="H127" s="312"/>
      <c r="I127" s="312"/>
      <c r="J127" s="312"/>
      <c r="K127" s="312"/>
      <c r="L127" s="312"/>
      <c r="M127" s="312"/>
      <c r="N127" s="312"/>
      <c r="O127" s="312"/>
      <c r="P127" s="312"/>
      <c r="Q127" s="312"/>
      <c r="R127" s="312"/>
      <c r="S127" s="312"/>
      <c r="T127" s="312"/>
      <c r="U127" s="312"/>
      <c r="V127" s="312"/>
      <c r="W127" s="312"/>
      <c r="X127" s="312"/>
      <c r="Y127" s="312"/>
    </row>
    <row r="128" ht="18.75" spans="1:25">
      <c r="A128" s="312"/>
      <c r="B128" s="312"/>
      <c r="C128" s="312"/>
      <c r="D128" s="312"/>
      <c r="E128" s="312"/>
      <c r="F128" s="312"/>
      <c r="G128" s="312"/>
      <c r="H128" s="312"/>
      <c r="I128" s="312"/>
      <c r="J128" s="312"/>
      <c r="K128" s="312"/>
      <c r="L128" s="312"/>
      <c r="M128" s="312"/>
      <c r="N128" s="312"/>
      <c r="O128" s="312"/>
      <c r="P128" s="312"/>
      <c r="Q128" s="312"/>
      <c r="R128" s="312"/>
      <c r="S128" s="312"/>
      <c r="T128" s="312"/>
      <c r="U128" s="312"/>
      <c r="V128" s="312"/>
      <c r="W128" s="312"/>
      <c r="X128" s="312"/>
      <c r="Y128" s="312"/>
    </row>
    <row r="129" ht="18.75" spans="1:25">
      <c r="A129" s="312"/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2"/>
      <c r="M129" s="312"/>
      <c r="N129" s="312"/>
      <c r="O129" s="312"/>
      <c r="P129" s="312"/>
      <c r="Q129" s="312"/>
      <c r="R129" s="312"/>
      <c r="S129" s="312"/>
      <c r="T129" s="312"/>
      <c r="U129" s="312"/>
      <c r="V129" s="312"/>
      <c r="W129" s="312"/>
      <c r="X129" s="312"/>
      <c r="Y129" s="312"/>
    </row>
    <row r="130" ht="18.75" spans="1:25">
      <c r="A130" s="312"/>
      <c r="B130" s="312"/>
      <c r="C130" s="312"/>
      <c r="D130" s="312"/>
      <c r="E130" s="312"/>
      <c r="F130" s="312"/>
      <c r="G130" s="312"/>
      <c r="H130" s="312"/>
      <c r="I130" s="312"/>
      <c r="J130" s="312"/>
      <c r="K130" s="312"/>
      <c r="L130" s="312"/>
      <c r="M130" s="312"/>
      <c r="N130" s="312"/>
      <c r="O130" s="312"/>
      <c r="P130" s="312"/>
      <c r="Q130" s="312"/>
      <c r="R130" s="312"/>
      <c r="S130" s="312"/>
      <c r="T130" s="312"/>
      <c r="U130" s="312"/>
      <c r="V130" s="312"/>
      <c r="W130" s="312"/>
      <c r="X130" s="312"/>
      <c r="Y130" s="312"/>
    </row>
    <row r="131" ht="18.75" spans="1:25">
      <c r="A131" s="312"/>
      <c r="B131" s="312"/>
      <c r="C131" s="312"/>
      <c r="D131" s="312"/>
      <c r="E131" s="312"/>
      <c r="F131" s="312"/>
      <c r="G131" s="312"/>
      <c r="H131" s="312"/>
      <c r="I131" s="312"/>
      <c r="J131" s="312"/>
      <c r="K131" s="312"/>
      <c r="L131" s="312"/>
      <c r="M131" s="312"/>
      <c r="N131" s="312"/>
      <c r="O131" s="312"/>
      <c r="P131" s="312"/>
      <c r="Q131" s="312"/>
      <c r="R131" s="312"/>
      <c r="S131" s="312"/>
      <c r="T131" s="312"/>
      <c r="U131" s="312"/>
      <c r="V131" s="312"/>
      <c r="W131" s="312"/>
      <c r="X131" s="312"/>
      <c r="Y131" s="312"/>
    </row>
    <row r="132" ht="18.75" spans="1:25">
      <c r="A132" s="312"/>
      <c r="B132" s="312"/>
      <c r="C132" s="312"/>
      <c r="D132" s="312"/>
      <c r="E132" s="312"/>
      <c r="F132" s="312"/>
      <c r="G132" s="312"/>
      <c r="H132" s="312"/>
      <c r="I132" s="312"/>
      <c r="J132" s="312"/>
      <c r="K132" s="312"/>
      <c r="L132" s="312"/>
      <c r="M132" s="312"/>
      <c r="N132" s="312"/>
      <c r="O132" s="312"/>
      <c r="P132" s="312"/>
      <c r="Q132" s="312"/>
      <c r="R132" s="312"/>
      <c r="S132" s="312"/>
      <c r="T132" s="312"/>
      <c r="U132" s="312"/>
      <c r="V132" s="312"/>
      <c r="W132" s="312"/>
      <c r="X132" s="312"/>
      <c r="Y132" s="312"/>
    </row>
    <row r="133" ht="18.75" spans="1:25">
      <c r="A133" s="312"/>
      <c r="B133" s="312"/>
      <c r="C133" s="312"/>
      <c r="D133" s="312"/>
      <c r="E133" s="312"/>
      <c r="F133" s="312"/>
      <c r="G133" s="312"/>
      <c r="H133" s="312"/>
      <c r="I133" s="312"/>
      <c r="J133" s="312"/>
      <c r="K133" s="312"/>
      <c r="L133" s="312"/>
      <c r="M133" s="312"/>
      <c r="N133" s="312"/>
      <c r="O133" s="312"/>
      <c r="P133" s="312"/>
      <c r="Q133" s="312"/>
      <c r="R133" s="312"/>
      <c r="S133" s="312"/>
      <c r="T133" s="312"/>
      <c r="U133" s="312"/>
      <c r="V133" s="312"/>
      <c r="W133" s="312"/>
      <c r="X133" s="312"/>
      <c r="Y133" s="312"/>
    </row>
    <row r="134" ht="18.75" spans="1:25">
      <c r="A134" s="312"/>
      <c r="B134" s="312"/>
      <c r="C134" s="312"/>
      <c r="D134" s="312"/>
      <c r="E134" s="312"/>
      <c r="F134" s="312"/>
      <c r="G134" s="312"/>
      <c r="H134" s="312"/>
      <c r="I134" s="312"/>
      <c r="J134" s="312"/>
      <c r="K134" s="312"/>
      <c r="L134" s="312"/>
      <c r="M134" s="312"/>
      <c r="N134" s="312"/>
      <c r="O134" s="312"/>
      <c r="P134" s="312"/>
      <c r="Q134" s="312"/>
      <c r="R134" s="312"/>
      <c r="S134" s="312"/>
      <c r="T134" s="312"/>
      <c r="U134" s="312"/>
      <c r="V134" s="312"/>
      <c r="W134" s="312"/>
      <c r="X134" s="312"/>
      <c r="Y134" s="312"/>
    </row>
    <row r="135" ht="18.75" spans="1:25">
      <c r="A135" s="312"/>
      <c r="B135" s="312"/>
      <c r="C135" s="312"/>
      <c r="D135" s="312"/>
      <c r="E135" s="312"/>
      <c r="F135" s="312"/>
      <c r="G135" s="312"/>
      <c r="H135" s="312"/>
      <c r="I135" s="312"/>
      <c r="J135" s="312"/>
      <c r="K135" s="312"/>
      <c r="L135" s="312"/>
      <c r="M135" s="312"/>
      <c r="N135" s="312"/>
      <c r="O135" s="312"/>
      <c r="P135" s="312"/>
      <c r="Q135" s="312"/>
      <c r="R135" s="312"/>
      <c r="S135" s="312"/>
      <c r="T135" s="312"/>
      <c r="U135" s="312"/>
      <c r="V135" s="312"/>
      <c r="W135" s="312"/>
      <c r="X135" s="312"/>
      <c r="Y135" s="312"/>
    </row>
    <row r="136" ht="18.75" spans="1:25">
      <c r="A136" s="312"/>
      <c r="B136" s="312"/>
      <c r="C136" s="312"/>
      <c r="D136" s="312"/>
      <c r="E136" s="312"/>
      <c r="F136" s="312"/>
      <c r="G136" s="312"/>
      <c r="H136" s="312"/>
      <c r="I136" s="312"/>
      <c r="J136" s="312"/>
      <c r="K136" s="312"/>
      <c r="L136" s="312"/>
      <c r="M136" s="312"/>
      <c r="N136" s="312"/>
      <c r="O136" s="312"/>
      <c r="P136" s="312"/>
      <c r="Q136" s="312"/>
      <c r="R136" s="312"/>
      <c r="S136" s="312"/>
      <c r="T136" s="312"/>
      <c r="U136" s="312"/>
      <c r="V136" s="312"/>
      <c r="W136" s="312"/>
      <c r="X136" s="312"/>
      <c r="Y136" s="312"/>
    </row>
    <row r="137" ht="18.75" spans="1:25">
      <c r="A137" s="312"/>
      <c r="B137" s="312"/>
      <c r="C137" s="312"/>
      <c r="D137" s="312"/>
      <c r="E137" s="312"/>
      <c r="F137" s="312"/>
      <c r="G137" s="312"/>
      <c r="H137" s="312"/>
      <c r="I137" s="312"/>
      <c r="J137" s="312"/>
      <c r="K137" s="312"/>
      <c r="L137" s="312"/>
      <c r="M137" s="312"/>
      <c r="N137" s="312"/>
      <c r="O137" s="312"/>
      <c r="P137" s="312"/>
      <c r="Q137" s="312"/>
      <c r="R137" s="312"/>
      <c r="S137" s="312"/>
      <c r="T137" s="312"/>
      <c r="U137" s="312"/>
      <c r="V137" s="312"/>
      <c r="W137" s="312"/>
      <c r="X137" s="312"/>
      <c r="Y137" s="312"/>
    </row>
    <row r="138" ht="18.75" spans="1:25">
      <c r="A138" s="312"/>
      <c r="B138" s="312"/>
      <c r="C138" s="312"/>
      <c r="D138" s="312"/>
      <c r="E138" s="312"/>
      <c r="F138" s="312"/>
      <c r="G138" s="312"/>
      <c r="H138" s="312"/>
      <c r="I138" s="312"/>
      <c r="J138" s="312"/>
      <c r="K138" s="312"/>
      <c r="L138" s="312"/>
      <c r="M138" s="312"/>
      <c r="N138" s="312"/>
      <c r="O138" s="312"/>
      <c r="P138" s="312"/>
      <c r="Q138" s="312"/>
      <c r="R138" s="312"/>
      <c r="S138" s="312"/>
      <c r="T138" s="312"/>
      <c r="U138" s="312"/>
      <c r="V138" s="312"/>
      <c r="W138" s="312"/>
      <c r="X138" s="312"/>
      <c r="Y138" s="312"/>
    </row>
    <row r="139" ht="18.75" spans="1:25">
      <c r="A139" s="312"/>
      <c r="B139" s="312"/>
      <c r="C139" s="312"/>
      <c r="D139" s="312"/>
      <c r="E139" s="312"/>
      <c r="F139" s="312"/>
      <c r="G139" s="312"/>
      <c r="H139" s="312"/>
      <c r="I139" s="312"/>
      <c r="J139" s="312"/>
      <c r="K139" s="312"/>
      <c r="L139" s="312"/>
      <c r="M139" s="312"/>
      <c r="N139" s="312"/>
      <c r="O139" s="312"/>
      <c r="P139" s="312"/>
      <c r="Q139" s="312"/>
      <c r="R139" s="312"/>
      <c r="S139" s="312"/>
      <c r="T139" s="312"/>
      <c r="U139" s="312"/>
      <c r="V139" s="312"/>
      <c r="W139" s="312"/>
      <c r="X139" s="312"/>
      <c r="Y139" s="312"/>
    </row>
    <row r="140" ht="18.75" spans="1:25">
      <c r="A140" s="312"/>
      <c r="B140" s="312"/>
      <c r="C140" s="312"/>
      <c r="D140" s="312"/>
      <c r="E140" s="312"/>
      <c r="F140" s="312"/>
      <c r="G140" s="312"/>
      <c r="H140" s="312"/>
      <c r="I140" s="312"/>
      <c r="J140" s="312"/>
      <c r="K140" s="312"/>
      <c r="L140" s="312"/>
      <c r="M140" s="312"/>
      <c r="N140" s="312"/>
      <c r="O140" s="312"/>
      <c r="P140" s="312"/>
      <c r="Q140" s="312"/>
      <c r="R140" s="312"/>
      <c r="S140" s="312"/>
      <c r="T140" s="312"/>
      <c r="U140" s="312"/>
      <c r="V140" s="312"/>
      <c r="W140" s="312"/>
      <c r="X140" s="312"/>
      <c r="Y140" s="312"/>
    </row>
    <row r="141" ht="18.75" spans="1:25">
      <c r="A141" s="312"/>
      <c r="B141" s="312"/>
      <c r="C141" s="312"/>
      <c r="D141" s="312"/>
      <c r="E141" s="312"/>
      <c r="F141" s="312"/>
      <c r="G141" s="312"/>
      <c r="H141" s="312"/>
      <c r="I141" s="312"/>
      <c r="J141" s="312"/>
      <c r="K141" s="312"/>
      <c r="L141" s="312"/>
      <c r="M141" s="312"/>
      <c r="N141" s="312"/>
      <c r="O141" s="312"/>
      <c r="P141" s="312"/>
      <c r="Q141" s="312"/>
      <c r="R141" s="312"/>
      <c r="S141" s="312"/>
      <c r="T141" s="312"/>
      <c r="U141" s="312"/>
      <c r="V141" s="312"/>
      <c r="W141" s="312"/>
      <c r="X141" s="312"/>
      <c r="Y141" s="312"/>
    </row>
    <row r="142" ht="18.75" spans="1:25">
      <c r="A142" s="312"/>
      <c r="B142" s="312"/>
      <c r="C142" s="312"/>
      <c r="D142" s="312"/>
      <c r="E142" s="312"/>
      <c r="F142" s="312"/>
      <c r="G142" s="312"/>
      <c r="H142" s="312"/>
      <c r="I142" s="312"/>
      <c r="J142" s="312"/>
      <c r="K142" s="312"/>
      <c r="L142" s="312"/>
      <c r="M142" s="312"/>
      <c r="N142" s="312"/>
      <c r="O142" s="312"/>
      <c r="P142" s="312"/>
      <c r="Q142" s="312"/>
      <c r="R142" s="312"/>
      <c r="S142" s="312"/>
      <c r="T142" s="312"/>
      <c r="U142" s="312"/>
      <c r="V142" s="312"/>
      <c r="W142" s="312"/>
      <c r="X142" s="312"/>
      <c r="Y142" s="312"/>
    </row>
    <row r="143" ht="18.75" spans="1:25">
      <c r="A143" s="312"/>
      <c r="B143" s="312"/>
      <c r="C143" s="312"/>
      <c r="D143" s="312"/>
      <c r="E143" s="312"/>
      <c r="F143" s="312"/>
      <c r="G143" s="312"/>
      <c r="H143" s="312"/>
      <c r="I143" s="312"/>
      <c r="J143" s="312"/>
      <c r="K143" s="312"/>
      <c r="L143" s="312"/>
      <c r="M143" s="312"/>
      <c r="N143" s="312"/>
      <c r="O143" s="312"/>
      <c r="P143" s="312"/>
      <c r="Q143" s="312"/>
      <c r="R143" s="312"/>
      <c r="S143" s="312"/>
      <c r="T143" s="312"/>
      <c r="U143" s="312"/>
      <c r="V143" s="312"/>
      <c r="W143" s="312"/>
      <c r="X143" s="312"/>
      <c r="Y143" s="312"/>
    </row>
    <row r="144" ht="18.75" spans="1:25">
      <c r="A144" s="312"/>
      <c r="B144" s="312"/>
      <c r="C144" s="312"/>
      <c r="D144" s="312"/>
      <c r="E144" s="312"/>
      <c r="F144" s="312"/>
      <c r="G144" s="312"/>
      <c r="H144" s="312"/>
      <c r="I144" s="312"/>
      <c r="J144" s="312"/>
      <c r="K144" s="312"/>
      <c r="L144" s="312"/>
      <c r="M144" s="312"/>
      <c r="N144" s="312"/>
      <c r="O144" s="312"/>
      <c r="P144" s="312"/>
      <c r="Q144" s="312"/>
      <c r="R144" s="312"/>
      <c r="S144" s="312"/>
      <c r="T144" s="312"/>
      <c r="U144" s="312"/>
      <c r="V144" s="312"/>
      <c r="W144" s="312"/>
      <c r="X144" s="312"/>
      <c r="Y144" s="312"/>
    </row>
    <row r="145" ht="18.75" spans="1:25">
      <c r="A145" s="312"/>
      <c r="B145" s="312"/>
      <c r="C145" s="312"/>
      <c r="D145" s="312"/>
      <c r="E145" s="312"/>
      <c r="F145" s="312"/>
      <c r="G145" s="312"/>
      <c r="H145" s="312"/>
      <c r="I145" s="312"/>
      <c r="J145" s="312"/>
      <c r="K145" s="312"/>
      <c r="L145" s="312"/>
      <c r="M145" s="312"/>
      <c r="N145" s="312"/>
      <c r="O145" s="312"/>
      <c r="P145" s="312"/>
      <c r="Q145" s="312"/>
      <c r="R145" s="312"/>
      <c r="S145" s="312"/>
      <c r="T145" s="312"/>
      <c r="U145" s="312"/>
      <c r="V145" s="312"/>
      <c r="W145" s="312"/>
      <c r="X145" s="312"/>
      <c r="Y145" s="312"/>
    </row>
    <row r="146" ht="18.75" spans="1:25">
      <c r="A146" s="312"/>
      <c r="B146" s="312"/>
      <c r="C146" s="312"/>
      <c r="D146" s="312"/>
      <c r="E146" s="312"/>
      <c r="F146" s="312"/>
      <c r="G146" s="312"/>
      <c r="H146" s="312"/>
      <c r="I146" s="312"/>
      <c r="J146" s="312"/>
      <c r="K146" s="312"/>
      <c r="L146" s="312"/>
      <c r="M146" s="312"/>
      <c r="N146" s="312"/>
      <c r="O146" s="312"/>
      <c r="P146" s="312"/>
      <c r="Q146" s="312"/>
      <c r="R146" s="312"/>
      <c r="S146" s="312"/>
      <c r="T146" s="312"/>
      <c r="U146" s="312"/>
      <c r="V146" s="312"/>
      <c r="W146" s="312"/>
      <c r="X146" s="312"/>
      <c r="Y146" s="312"/>
    </row>
    <row r="147" ht="18.75" spans="1:25">
      <c r="A147" s="312"/>
      <c r="B147" s="312"/>
      <c r="C147" s="312"/>
      <c r="D147" s="312"/>
      <c r="E147" s="312"/>
      <c r="F147" s="312"/>
      <c r="G147" s="312"/>
      <c r="H147" s="312"/>
      <c r="I147" s="312"/>
      <c r="J147" s="312"/>
      <c r="K147" s="312"/>
      <c r="L147" s="312"/>
      <c r="M147" s="312"/>
      <c r="N147" s="312"/>
      <c r="O147" s="312"/>
      <c r="P147" s="312"/>
      <c r="Q147" s="312"/>
      <c r="R147" s="312"/>
      <c r="S147" s="312"/>
      <c r="T147" s="312"/>
      <c r="U147" s="312"/>
      <c r="V147" s="312"/>
      <c r="W147" s="312"/>
      <c r="X147" s="312"/>
      <c r="Y147" s="312"/>
    </row>
    <row r="148" ht="18.75" spans="1:25">
      <c r="A148" s="312"/>
      <c r="B148" s="312"/>
      <c r="C148" s="312"/>
      <c r="D148" s="312"/>
      <c r="E148" s="312"/>
      <c r="F148" s="312"/>
      <c r="G148" s="312"/>
      <c r="H148" s="312"/>
      <c r="I148" s="312"/>
      <c r="J148" s="312"/>
      <c r="K148" s="312"/>
      <c r="L148" s="312"/>
      <c r="M148" s="312"/>
      <c r="N148" s="312"/>
      <c r="O148" s="312"/>
      <c r="P148" s="312"/>
      <c r="Q148" s="312"/>
      <c r="R148" s="312"/>
      <c r="S148" s="312"/>
      <c r="T148" s="312"/>
      <c r="U148" s="312"/>
      <c r="V148" s="312"/>
      <c r="W148" s="312"/>
      <c r="X148" s="312"/>
      <c r="Y148" s="312"/>
    </row>
    <row r="149" ht="18.75" spans="1:25">
      <c r="A149" s="312"/>
      <c r="B149" s="312"/>
      <c r="C149" s="312"/>
      <c r="D149" s="312"/>
      <c r="E149" s="312"/>
      <c r="F149" s="312"/>
      <c r="G149" s="312"/>
      <c r="H149" s="312"/>
      <c r="I149" s="312"/>
      <c r="J149" s="312"/>
      <c r="K149" s="312"/>
      <c r="L149" s="312"/>
      <c r="M149" s="312"/>
      <c r="N149" s="312"/>
      <c r="O149" s="312"/>
      <c r="P149" s="312"/>
      <c r="Q149" s="312"/>
      <c r="R149" s="312"/>
      <c r="S149" s="312"/>
      <c r="T149" s="312"/>
      <c r="U149" s="312"/>
      <c r="V149" s="312"/>
      <c r="W149" s="312"/>
      <c r="X149" s="312"/>
      <c r="Y149" s="312"/>
    </row>
    <row r="150" ht="18.75" spans="1:25">
      <c r="A150" s="312"/>
      <c r="B150" s="312"/>
      <c r="C150" s="312"/>
      <c r="D150" s="312"/>
      <c r="E150" s="312"/>
      <c r="F150" s="312"/>
      <c r="G150" s="312"/>
      <c r="H150" s="312"/>
      <c r="I150" s="312"/>
      <c r="J150" s="312"/>
      <c r="K150" s="312"/>
      <c r="L150" s="312"/>
      <c r="M150" s="312"/>
      <c r="N150" s="312"/>
      <c r="O150" s="312"/>
      <c r="P150" s="312"/>
      <c r="Q150" s="312"/>
      <c r="R150" s="312"/>
      <c r="S150" s="312"/>
      <c r="T150" s="312"/>
      <c r="U150" s="312"/>
      <c r="V150" s="312"/>
      <c r="W150" s="312"/>
      <c r="X150" s="312"/>
      <c r="Y150" s="312"/>
    </row>
    <row r="151" ht="18.75" spans="1:25">
      <c r="A151" s="312"/>
      <c r="B151" s="312"/>
      <c r="C151" s="312"/>
      <c r="D151" s="312"/>
      <c r="E151" s="312"/>
      <c r="F151" s="312"/>
      <c r="G151" s="312"/>
      <c r="H151" s="312"/>
      <c r="I151" s="312"/>
      <c r="J151" s="312"/>
      <c r="K151" s="312"/>
      <c r="L151" s="312"/>
      <c r="M151" s="312"/>
      <c r="N151" s="312"/>
      <c r="O151" s="312"/>
      <c r="P151" s="312"/>
      <c r="Q151" s="312"/>
      <c r="R151" s="312"/>
      <c r="S151" s="312"/>
      <c r="T151" s="312"/>
      <c r="U151" s="312"/>
      <c r="V151" s="312"/>
      <c r="W151" s="312"/>
      <c r="X151" s="312"/>
      <c r="Y151" s="312"/>
    </row>
    <row r="152" ht="18.75" spans="1:25">
      <c r="A152" s="312"/>
      <c r="B152" s="312"/>
      <c r="C152" s="312"/>
      <c r="D152" s="312"/>
      <c r="E152" s="312"/>
      <c r="F152" s="312"/>
      <c r="G152" s="312"/>
      <c r="H152" s="312"/>
      <c r="I152" s="312"/>
      <c r="J152" s="312"/>
      <c r="K152" s="312"/>
      <c r="L152" s="312"/>
      <c r="M152" s="312"/>
      <c r="N152" s="312"/>
      <c r="O152" s="312"/>
      <c r="P152" s="312"/>
      <c r="Q152" s="312"/>
      <c r="R152" s="312"/>
      <c r="S152" s="312"/>
      <c r="T152" s="312"/>
      <c r="U152" s="312"/>
      <c r="V152" s="312"/>
      <c r="W152" s="312"/>
      <c r="X152" s="312"/>
      <c r="Y152" s="312"/>
    </row>
    <row r="153" ht="18.75" spans="1:25">
      <c r="A153" s="312"/>
      <c r="B153" s="312"/>
      <c r="C153" s="312"/>
      <c r="D153" s="312"/>
      <c r="E153" s="312"/>
      <c r="F153" s="312"/>
      <c r="G153" s="312"/>
      <c r="H153" s="312"/>
      <c r="I153" s="312"/>
      <c r="J153" s="312"/>
      <c r="K153" s="312"/>
      <c r="L153" s="312"/>
      <c r="M153" s="312"/>
      <c r="N153" s="312"/>
      <c r="O153" s="312"/>
      <c r="P153" s="312"/>
      <c r="Q153" s="312"/>
      <c r="R153" s="312"/>
      <c r="S153" s="312"/>
      <c r="T153" s="312"/>
      <c r="U153" s="312"/>
      <c r="V153" s="312"/>
      <c r="W153" s="312"/>
      <c r="X153" s="312"/>
      <c r="Y153" s="312"/>
    </row>
    <row r="154" ht="18.75" spans="1:25">
      <c r="A154" s="312"/>
      <c r="B154" s="312"/>
      <c r="C154" s="312"/>
      <c r="D154" s="312"/>
      <c r="E154" s="312"/>
      <c r="F154" s="312"/>
      <c r="G154" s="312"/>
      <c r="H154" s="312"/>
      <c r="I154" s="312"/>
      <c r="J154" s="312"/>
      <c r="K154" s="312"/>
      <c r="L154" s="312"/>
      <c r="M154" s="312"/>
      <c r="N154" s="312"/>
      <c r="O154" s="312"/>
      <c r="P154" s="312"/>
      <c r="Q154" s="312"/>
      <c r="R154" s="312"/>
      <c r="S154" s="312"/>
      <c r="T154" s="312"/>
      <c r="U154" s="312"/>
      <c r="V154" s="312"/>
      <c r="W154" s="312"/>
      <c r="X154" s="312"/>
      <c r="Y154" s="312"/>
    </row>
    <row r="155" ht="18.75" spans="1:25">
      <c r="A155" s="312"/>
      <c r="B155" s="312"/>
      <c r="C155" s="312"/>
      <c r="D155" s="312"/>
      <c r="E155" s="312"/>
      <c r="F155" s="312"/>
      <c r="G155" s="312"/>
      <c r="H155" s="312"/>
      <c r="I155" s="312"/>
      <c r="J155" s="312"/>
      <c r="K155" s="312"/>
      <c r="L155" s="312"/>
      <c r="M155" s="312"/>
      <c r="N155" s="312"/>
      <c r="O155" s="312"/>
      <c r="P155" s="312"/>
      <c r="Q155" s="312"/>
      <c r="R155" s="312"/>
      <c r="S155" s="312"/>
      <c r="T155" s="312"/>
      <c r="U155" s="312"/>
      <c r="V155" s="312"/>
      <c r="W155" s="312"/>
      <c r="X155" s="312"/>
      <c r="Y155" s="312"/>
    </row>
    <row r="156" ht="18.75" spans="1:25">
      <c r="A156" s="312"/>
      <c r="B156" s="312"/>
      <c r="C156" s="312"/>
      <c r="D156" s="312"/>
      <c r="E156" s="312"/>
      <c r="F156" s="312"/>
      <c r="G156" s="312"/>
      <c r="H156" s="312"/>
      <c r="I156" s="312"/>
      <c r="J156" s="312"/>
      <c r="K156" s="312"/>
      <c r="L156" s="312"/>
      <c r="M156" s="312"/>
      <c r="N156" s="312"/>
      <c r="O156" s="312"/>
      <c r="P156" s="312"/>
      <c r="Q156" s="312"/>
      <c r="R156" s="312"/>
      <c r="S156" s="312"/>
      <c r="T156" s="312"/>
      <c r="U156" s="312"/>
      <c r="V156" s="312"/>
      <c r="W156" s="312"/>
      <c r="X156" s="312"/>
      <c r="Y156" s="312"/>
    </row>
    <row r="157" ht="18.75" spans="1:25">
      <c r="A157" s="312"/>
      <c r="B157" s="312"/>
      <c r="C157" s="312"/>
      <c r="D157" s="312"/>
      <c r="E157" s="312"/>
      <c r="F157" s="312"/>
      <c r="G157" s="312"/>
      <c r="H157" s="312"/>
      <c r="I157" s="312"/>
      <c r="J157" s="312"/>
      <c r="K157" s="312"/>
      <c r="L157" s="312"/>
      <c r="M157" s="312"/>
      <c r="N157" s="312"/>
      <c r="O157" s="312"/>
      <c r="P157" s="312"/>
      <c r="Q157" s="312"/>
      <c r="R157" s="312"/>
      <c r="S157" s="312"/>
      <c r="T157" s="312"/>
      <c r="U157" s="312"/>
      <c r="V157" s="312"/>
      <c r="W157" s="312"/>
      <c r="X157" s="312"/>
      <c r="Y157" s="312"/>
    </row>
    <row r="158" ht="18.75" spans="1:25">
      <c r="A158" s="312"/>
      <c r="B158" s="312"/>
      <c r="C158" s="312"/>
      <c r="D158" s="312"/>
      <c r="E158" s="312"/>
      <c r="F158" s="312"/>
      <c r="G158" s="312"/>
      <c r="H158" s="312"/>
      <c r="I158" s="312"/>
      <c r="J158" s="312"/>
      <c r="K158" s="312"/>
      <c r="L158" s="312"/>
      <c r="M158" s="312"/>
      <c r="N158" s="312"/>
      <c r="O158" s="312"/>
      <c r="P158" s="312"/>
      <c r="Q158" s="312"/>
      <c r="R158" s="312"/>
      <c r="S158" s="312"/>
      <c r="T158" s="312"/>
      <c r="U158" s="312"/>
      <c r="V158" s="312"/>
      <c r="W158" s="312"/>
      <c r="X158" s="312"/>
      <c r="Y158" s="312"/>
    </row>
    <row r="159" ht="18.75" spans="1:25">
      <c r="A159" s="312"/>
      <c r="B159" s="312"/>
      <c r="C159" s="312"/>
      <c r="D159" s="312"/>
      <c r="E159" s="312"/>
      <c r="F159" s="312"/>
      <c r="G159" s="312"/>
      <c r="H159" s="312"/>
      <c r="I159" s="312"/>
      <c r="J159" s="312"/>
      <c r="K159" s="312"/>
      <c r="L159" s="312"/>
      <c r="M159" s="312"/>
      <c r="N159" s="312"/>
      <c r="O159" s="312"/>
      <c r="P159" s="312"/>
      <c r="Q159" s="312"/>
      <c r="R159" s="312"/>
      <c r="S159" s="312"/>
      <c r="T159" s="312"/>
      <c r="U159" s="312"/>
      <c r="V159" s="312"/>
      <c r="W159" s="312"/>
      <c r="X159" s="312"/>
      <c r="Y159" s="312"/>
    </row>
    <row r="160" ht="18.75" spans="1:25">
      <c r="A160" s="312"/>
      <c r="B160" s="312"/>
      <c r="C160" s="312"/>
      <c r="D160" s="312"/>
      <c r="E160" s="312"/>
      <c r="F160" s="312"/>
      <c r="G160" s="312"/>
      <c r="H160" s="312"/>
      <c r="I160" s="312"/>
      <c r="J160" s="312"/>
      <c r="K160" s="312"/>
      <c r="L160" s="312"/>
      <c r="M160" s="312"/>
      <c r="N160" s="312"/>
      <c r="O160" s="312"/>
      <c r="P160" s="312"/>
      <c r="Q160" s="312"/>
      <c r="R160" s="312"/>
      <c r="S160" s="312"/>
      <c r="T160" s="312"/>
      <c r="U160" s="312"/>
      <c r="V160" s="312"/>
      <c r="W160" s="312"/>
      <c r="X160" s="312"/>
      <c r="Y160" s="312"/>
    </row>
    <row r="161" ht="18.75" spans="1:25">
      <c r="A161" s="312"/>
      <c r="B161" s="312"/>
      <c r="C161" s="312"/>
      <c r="D161" s="312"/>
      <c r="E161" s="312"/>
      <c r="F161" s="312"/>
      <c r="G161" s="312"/>
      <c r="H161" s="312"/>
      <c r="I161" s="312"/>
      <c r="J161" s="312"/>
      <c r="K161" s="312"/>
      <c r="L161" s="312"/>
      <c r="M161" s="312"/>
      <c r="N161" s="312"/>
      <c r="O161" s="312"/>
      <c r="P161" s="312"/>
      <c r="Q161" s="312"/>
      <c r="R161" s="312"/>
      <c r="S161" s="312"/>
      <c r="T161" s="312"/>
      <c r="U161" s="312"/>
      <c r="V161" s="312"/>
      <c r="W161" s="312"/>
      <c r="X161" s="312"/>
      <c r="Y161" s="312"/>
    </row>
    <row r="162" ht="18.75" spans="1:25">
      <c r="A162" s="312"/>
      <c r="B162" s="312"/>
      <c r="C162" s="312"/>
      <c r="D162" s="312"/>
      <c r="E162" s="312"/>
      <c r="F162" s="312"/>
      <c r="G162" s="312"/>
      <c r="H162" s="312"/>
      <c r="I162" s="312"/>
      <c r="J162" s="312"/>
      <c r="K162" s="312"/>
      <c r="L162" s="312"/>
      <c r="M162" s="312"/>
      <c r="N162" s="312"/>
      <c r="O162" s="312"/>
      <c r="P162" s="312"/>
      <c r="Q162" s="312"/>
      <c r="R162" s="312"/>
      <c r="S162" s="312"/>
      <c r="T162" s="312"/>
      <c r="U162" s="312"/>
      <c r="V162" s="312"/>
      <c r="W162" s="312"/>
      <c r="X162" s="312"/>
      <c r="Y162" s="312"/>
    </row>
    <row r="163" ht="18.75" spans="1:25">
      <c r="A163" s="312"/>
      <c r="B163" s="312"/>
      <c r="C163" s="312"/>
      <c r="D163" s="312"/>
      <c r="E163" s="312"/>
      <c r="F163" s="312"/>
      <c r="G163" s="312"/>
      <c r="H163" s="312"/>
      <c r="I163" s="312"/>
      <c r="J163" s="312"/>
      <c r="K163" s="312"/>
      <c r="L163" s="312"/>
      <c r="M163" s="312"/>
      <c r="N163" s="312"/>
      <c r="O163" s="312"/>
      <c r="P163" s="312"/>
      <c r="Q163" s="312"/>
      <c r="R163" s="312"/>
      <c r="S163" s="312"/>
      <c r="T163" s="312"/>
      <c r="U163" s="312"/>
      <c r="V163" s="312"/>
      <c r="W163" s="312"/>
      <c r="X163" s="312"/>
      <c r="Y163" s="312"/>
    </row>
    <row r="164" ht="18.75" spans="1:25">
      <c r="A164" s="312"/>
      <c r="B164" s="312"/>
      <c r="C164" s="312"/>
      <c r="D164" s="312"/>
      <c r="E164" s="312"/>
      <c r="F164" s="312"/>
      <c r="G164" s="312"/>
      <c r="H164" s="312"/>
      <c r="I164" s="312"/>
      <c r="J164" s="312"/>
      <c r="K164" s="312"/>
      <c r="L164" s="312"/>
      <c r="M164" s="312"/>
      <c r="N164" s="312"/>
      <c r="O164" s="312"/>
      <c r="P164" s="312"/>
      <c r="Q164" s="312"/>
      <c r="R164" s="312"/>
      <c r="S164" s="312"/>
      <c r="T164" s="312"/>
      <c r="U164" s="312"/>
      <c r="V164" s="312"/>
      <c r="W164" s="312"/>
      <c r="X164" s="312"/>
      <c r="Y164" s="312"/>
    </row>
    <row r="165" ht="18.75" spans="1:25">
      <c r="A165" s="312"/>
      <c r="B165" s="312"/>
      <c r="C165" s="312"/>
      <c r="D165" s="312"/>
      <c r="E165" s="312"/>
      <c r="F165" s="312"/>
      <c r="G165" s="312"/>
      <c r="H165" s="312"/>
      <c r="I165" s="312"/>
      <c r="J165" s="312"/>
      <c r="K165" s="312"/>
      <c r="L165" s="312"/>
      <c r="M165" s="312"/>
      <c r="N165" s="312"/>
      <c r="O165" s="312"/>
      <c r="P165" s="312"/>
      <c r="Q165" s="312"/>
      <c r="R165" s="312"/>
      <c r="S165" s="312"/>
      <c r="T165" s="312"/>
      <c r="U165" s="312"/>
      <c r="V165" s="312"/>
      <c r="W165" s="312"/>
      <c r="X165" s="312"/>
      <c r="Y165" s="312"/>
    </row>
    <row r="166" ht="18.75" spans="1:25">
      <c r="A166" s="312"/>
      <c r="B166" s="312"/>
      <c r="C166" s="312"/>
      <c r="D166" s="312"/>
      <c r="E166" s="312"/>
      <c r="F166" s="312"/>
      <c r="G166" s="312"/>
      <c r="H166" s="312"/>
      <c r="I166" s="312"/>
      <c r="J166" s="312"/>
      <c r="K166" s="312"/>
      <c r="L166" s="312"/>
      <c r="M166" s="312"/>
      <c r="N166" s="312"/>
      <c r="O166" s="312"/>
      <c r="P166" s="312"/>
      <c r="Q166" s="312"/>
      <c r="R166" s="312"/>
      <c r="S166" s="312"/>
      <c r="T166" s="312"/>
      <c r="U166" s="312"/>
      <c r="V166" s="312"/>
      <c r="W166" s="312"/>
      <c r="X166" s="312"/>
      <c r="Y166" s="312"/>
    </row>
    <row r="167" ht="18.75" spans="1:25">
      <c r="A167" s="312"/>
      <c r="B167" s="312"/>
      <c r="C167" s="312"/>
      <c r="D167" s="312"/>
      <c r="E167" s="312"/>
      <c r="F167" s="312"/>
      <c r="G167" s="312"/>
      <c r="H167" s="312"/>
      <c r="I167" s="312"/>
      <c r="J167" s="312"/>
      <c r="K167" s="312"/>
      <c r="L167" s="312"/>
      <c r="M167" s="312"/>
      <c r="N167" s="312"/>
      <c r="O167" s="312"/>
      <c r="P167" s="312"/>
      <c r="Q167" s="312"/>
      <c r="R167" s="312"/>
      <c r="S167" s="312"/>
      <c r="T167" s="312"/>
      <c r="U167" s="312"/>
      <c r="V167" s="312"/>
      <c r="W167" s="312"/>
      <c r="X167" s="312"/>
      <c r="Y167" s="312"/>
    </row>
    <row r="168" ht="18.75" spans="1:25">
      <c r="A168" s="312"/>
      <c r="B168" s="312"/>
      <c r="C168" s="312"/>
      <c r="D168" s="312"/>
      <c r="E168" s="312"/>
      <c r="F168" s="312"/>
      <c r="G168" s="312"/>
      <c r="H168" s="312"/>
      <c r="I168" s="312"/>
      <c r="J168" s="312"/>
      <c r="K168" s="312"/>
      <c r="L168" s="312"/>
      <c r="M168" s="312"/>
      <c r="N168" s="312"/>
      <c r="O168" s="312"/>
      <c r="P168" s="312"/>
      <c r="Q168" s="312"/>
      <c r="R168" s="312"/>
      <c r="S168" s="312"/>
      <c r="T168" s="312"/>
      <c r="U168" s="312"/>
      <c r="V168" s="312"/>
      <c r="W168" s="312"/>
      <c r="X168" s="312"/>
      <c r="Y168" s="312"/>
    </row>
    <row r="169" ht="18.75" spans="1:25">
      <c r="A169" s="312"/>
      <c r="B169" s="312"/>
      <c r="C169" s="312"/>
      <c r="D169" s="312"/>
      <c r="E169" s="312"/>
      <c r="F169" s="312"/>
      <c r="G169" s="312"/>
      <c r="H169" s="312"/>
      <c r="I169" s="312"/>
      <c r="J169" s="312"/>
      <c r="K169" s="312"/>
      <c r="L169" s="312"/>
      <c r="M169" s="312"/>
      <c r="N169" s="312"/>
      <c r="O169" s="312"/>
      <c r="P169" s="312"/>
      <c r="Q169" s="312"/>
      <c r="R169" s="312"/>
      <c r="S169" s="312"/>
      <c r="T169" s="312"/>
      <c r="U169" s="312"/>
      <c r="V169" s="312"/>
      <c r="W169" s="312"/>
      <c r="X169" s="312"/>
      <c r="Y169" s="312"/>
    </row>
    <row r="170" ht="18.75" spans="1:25">
      <c r="A170" s="312"/>
      <c r="B170" s="312"/>
      <c r="C170" s="312"/>
      <c r="D170" s="312"/>
      <c r="E170" s="312"/>
      <c r="F170" s="312"/>
      <c r="G170" s="312"/>
      <c r="H170" s="312"/>
      <c r="I170" s="312"/>
      <c r="J170" s="312"/>
      <c r="K170" s="312"/>
      <c r="L170" s="312"/>
      <c r="M170" s="312"/>
      <c r="N170" s="312"/>
      <c r="O170" s="312"/>
      <c r="P170" s="312"/>
      <c r="Q170" s="312"/>
      <c r="R170" s="312"/>
      <c r="S170" s="312"/>
      <c r="T170" s="312"/>
      <c r="U170" s="312"/>
      <c r="V170" s="312"/>
      <c r="W170" s="312"/>
      <c r="X170" s="312"/>
      <c r="Y170" s="312"/>
    </row>
    <row r="171" ht="18.75" spans="1:25">
      <c r="A171" s="312"/>
      <c r="B171" s="312"/>
      <c r="C171" s="312"/>
      <c r="D171" s="312"/>
      <c r="E171" s="312"/>
      <c r="F171" s="312"/>
      <c r="G171" s="312"/>
      <c r="H171" s="312"/>
      <c r="I171" s="312"/>
      <c r="J171" s="312"/>
      <c r="K171" s="312"/>
      <c r="L171" s="312"/>
      <c r="M171" s="312"/>
      <c r="N171" s="312"/>
      <c r="O171" s="312"/>
      <c r="P171" s="312"/>
      <c r="Q171" s="312"/>
      <c r="R171" s="312"/>
      <c r="S171" s="312"/>
      <c r="T171" s="312"/>
      <c r="U171" s="312"/>
      <c r="V171" s="312"/>
      <c r="W171" s="312"/>
      <c r="X171" s="312"/>
      <c r="Y171" s="312"/>
    </row>
    <row r="172" ht="18.75" spans="1:25">
      <c r="A172" s="312"/>
      <c r="B172" s="312"/>
      <c r="C172" s="312"/>
      <c r="D172" s="312"/>
      <c r="E172" s="312"/>
      <c r="F172" s="312"/>
      <c r="G172" s="312"/>
      <c r="H172" s="312"/>
      <c r="I172" s="312"/>
      <c r="J172" s="312"/>
      <c r="K172" s="312"/>
      <c r="L172" s="312"/>
      <c r="M172" s="312"/>
      <c r="N172" s="312"/>
      <c r="O172" s="312"/>
      <c r="P172" s="312"/>
      <c r="Q172" s="312"/>
      <c r="R172" s="312"/>
      <c r="S172" s="312"/>
      <c r="T172" s="312"/>
      <c r="U172" s="312"/>
      <c r="V172" s="312"/>
      <c r="W172" s="312"/>
      <c r="X172" s="312"/>
      <c r="Y172" s="312"/>
    </row>
    <row r="173" ht="18.75" spans="1:25">
      <c r="A173" s="312"/>
      <c r="B173" s="312"/>
      <c r="C173" s="312"/>
      <c r="D173" s="312"/>
      <c r="E173" s="312"/>
      <c r="F173" s="312"/>
      <c r="G173" s="312"/>
      <c r="H173" s="312"/>
      <c r="I173" s="312"/>
      <c r="J173" s="312"/>
      <c r="K173" s="312"/>
      <c r="L173" s="312"/>
      <c r="M173" s="312"/>
      <c r="N173" s="312"/>
      <c r="O173" s="312"/>
      <c r="P173" s="312"/>
      <c r="Q173" s="312"/>
      <c r="R173" s="312"/>
      <c r="S173" s="312"/>
      <c r="T173" s="312"/>
      <c r="U173" s="312"/>
      <c r="V173" s="312"/>
      <c r="W173" s="312"/>
      <c r="X173" s="312"/>
      <c r="Y173" s="312"/>
    </row>
    <row r="174" ht="18.75" spans="1:25">
      <c r="A174" s="312"/>
      <c r="B174" s="312"/>
      <c r="C174" s="312"/>
      <c r="D174" s="312"/>
      <c r="E174" s="312"/>
      <c r="F174" s="312"/>
      <c r="G174" s="312"/>
      <c r="H174" s="312"/>
      <c r="I174" s="312"/>
      <c r="J174" s="312"/>
      <c r="K174" s="312"/>
      <c r="L174" s="312"/>
      <c r="M174" s="312"/>
      <c r="N174" s="312"/>
      <c r="O174" s="312"/>
      <c r="P174" s="312"/>
      <c r="Q174" s="312"/>
      <c r="R174" s="312"/>
      <c r="S174" s="312"/>
      <c r="T174" s="312"/>
      <c r="U174" s="312"/>
      <c r="V174" s="312"/>
      <c r="W174" s="312"/>
      <c r="X174" s="312"/>
      <c r="Y174" s="312"/>
    </row>
    <row r="175" ht="18.75" spans="1:25">
      <c r="A175" s="312"/>
      <c r="B175" s="312"/>
      <c r="C175" s="312"/>
      <c r="D175" s="312"/>
      <c r="E175" s="312"/>
      <c r="F175" s="312"/>
      <c r="G175" s="312"/>
      <c r="H175" s="312"/>
      <c r="I175" s="312"/>
      <c r="J175" s="312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2"/>
      <c r="X175" s="312"/>
      <c r="Y175" s="312"/>
    </row>
    <row r="176" ht="18.75" spans="1:25">
      <c r="A176" s="312"/>
      <c r="B176" s="312"/>
      <c r="C176" s="312"/>
      <c r="D176" s="312"/>
      <c r="E176" s="312"/>
      <c r="F176" s="312"/>
      <c r="G176" s="312"/>
      <c r="H176" s="312"/>
      <c r="I176" s="312"/>
      <c r="J176" s="312"/>
      <c r="K176" s="312"/>
      <c r="L176" s="312"/>
      <c r="M176" s="312"/>
      <c r="N176" s="312"/>
      <c r="O176" s="312"/>
      <c r="P176" s="312"/>
      <c r="Q176" s="312"/>
      <c r="R176" s="312"/>
      <c r="S176" s="312"/>
      <c r="T176" s="312"/>
      <c r="U176" s="312"/>
      <c r="V176" s="312"/>
      <c r="W176" s="312"/>
      <c r="X176" s="312"/>
      <c r="Y176" s="312"/>
    </row>
    <row r="177" ht="18.75" spans="1:25">
      <c r="A177" s="312"/>
      <c r="B177" s="312"/>
      <c r="C177" s="312"/>
      <c r="D177" s="312"/>
      <c r="E177" s="312"/>
      <c r="F177" s="312"/>
      <c r="G177" s="312"/>
      <c r="H177" s="312"/>
      <c r="I177" s="312"/>
      <c r="J177" s="312"/>
      <c r="K177" s="312"/>
      <c r="L177" s="312"/>
      <c r="M177" s="312"/>
      <c r="N177" s="312"/>
      <c r="O177" s="312"/>
      <c r="P177" s="312"/>
      <c r="Q177" s="312"/>
      <c r="R177" s="312"/>
      <c r="S177" s="312"/>
      <c r="T177" s="312"/>
      <c r="U177" s="312"/>
      <c r="V177" s="312"/>
      <c r="W177" s="312"/>
      <c r="X177" s="312"/>
      <c r="Y177" s="312"/>
    </row>
    <row r="178" ht="18.75" spans="1:25">
      <c r="A178" s="312"/>
      <c r="B178" s="312"/>
      <c r="C178" s="312"/>
      <c r="D178" s="312"/>
      <c r="E178" s="312"/>
      <c r="F178" s="312"/>
      <c r="G178" s="312"/>
      <c r="H178" s="312"/>
      <c r="I178" s="312"/>
      <c r="J178" s="312"/>
      <c r="K178" s="312"/>
      <c r="L178" s="312"/>
      <c r="M178" s="312"/>
      <c r="N178" s="312"/>
      <c r="O178" s="312"/>
      <c r="P178" s="312"/>
      <c r="Q178" s="312"/>
      <c r="R178" s="312"/>
      <c r="S178" s="312"/>
      <c r="T178" s="312"/>
      <c r="U178" s="312"/>
      <c r="V178" s="312"/>
      <c r="W178" s="312"/>
      <c r="X178" s="312"/>
      <c r="Y178" s="312"/>
    </row>
    <row r="179" ht="18.75" spans="1:25">
      <c r="A179" s="312"/>
      <c r="B179" s="312"/>
      <c r="C179" s="312"/>
      <c r="D179" s="312"/>
      <c r="E179" s="312"/>
      <c r="F179" s="312"/>
      <c r="G179" s="312"/>
      <c r="H179" s="312"/>
      <c r="I179" s="312"/>
      <c r="J179" s="312"/>
      <c r="K179" s="312"/>
      <c r="L179" s="312"/>
      <c r="M179" s="312"/>
      <c r="N179" s="312"/>
      <c r="O179" s="312"/>
      <c r="P179" s="312"/>
      <c r="Q179" s="312"/>
      <c r="R179" s="312"/>
      <c r="S179" s="312"/>
      <c r="T179" s="312"/>
      <c r="U179" s="312"/>
      <c r="V179" s="312"/>
      <c r="W179" s="312"/>
      <c r="X179" s="312"/>
      <c r="Y179" s="312"/>
    </row>
    <row r="180" ht="18.75" spans="1:25">
      <c r="A180" s="312"/>
      <c r="B180" s="312"/>
      <c r="C180" s="312"/>
      <c r="D180" s="312"/>
      <c r="E180" s="312"/>
      <c r="F180" s="312"/>
      <c r="G180" s="312"/>
      <c r="H180" s="312"/>
      <c r="I180" s="312"/>
      <c r="J180" s="312"/>
      <c r="K180" s="312"/>
      <c r="L180" s="312"/>
      <c r="M180" s="312"/>
      <c r="N180" s="312"/>
      <c r="O180" s="312"/>
      <c r="P180" s="312"/>
      <c r="Q180" s="312"/>
      <c r="R180" s="312"/>
      <c r="S180" s="312"/>
      <c r="T180" s="312"/>
      <c r="U180" s="312"/>
      <c r="V180" s="312"/>
      <c r="W180" s="312"/>
      <c r="X180" s="312"/>
      <c r="Y180" s="312"/>
    </row>
    <row r="181" ht="18.75" spans="1:25">
      <c r="A181" s="312"/>
      <c r="B181" s="312"/>
      <c r="C181" s="312"/>
      <c r="D181" s="312"/>
      <c r="E181" s="312"/>
      <c r="F181" s="312"/>
      <c r="G181" s="312"/>
      <c r="H181" s="312"/>
      <c r="I181" s="312"/>
      <c r="J181" s="312"/>
      <c r="K181" s="312"/>
      <c r="L181" s="312"/>
      <c r="M181" s="312"/>
      <c r="N181" s="312"/>
      <c r="O181" s="312"/>
      <c r="P181" s="312"/>
      <c r="Q181" s="312"/>
      <c r="R181" s="312"/>
      <c r="S181" s="312"/>
      <c r="T181" s="312"/>
      <c r="U181" s="312"/>
      <c r="V181" s="312"/>
      <c r="W181" s="312"/>
      <c r="X181" s="312"/>
      <c r="Y181" s="312"/>
    </row>
    <row r="182" ht="18.75" spans="1:25">
      <c r="A182" s="312"/>
      <c r="B182" s="312"/>
      <c r="C182" s="312"/>
      <c r="D182" s="312"/>
      <c r="E182" s="312"/>
      <c r="F182" s="312"/>
      <c r="G182" s="312"/>
      <c r="H182" s="312"/>
      <c r="I182" s="312"/>
      <c r="J182" s="312"/>
      <c r="K182" s="312"/>
      <c r="L182" s="312"/>
      <c r="M182" s="312"/>
      <c r="N182" s="312"/>
      <c r="O182" s="312"/>
      <c r="P182" s="312"/>
      <c r="Q182" s="312"/>
      <c r="R182" s="312"/>
      <c r="S182" s="312"/>
      <c r="T182" s="312"/>
      <c r="U182" s="312"/>
      <c r="V182" s="312"/>
      <c r="W182" s="312"/>
      <c r="X182" s="312"/>
      <c r="Y182" s="312"/>
    </row>
    <row r="183" ht="18.75" spans="1:25">
      <c r="A183" s="312"/>
      <c r="B183" s="312"/>
      <c r="C183" s="312"/>
      <c r="D183" s="312"/>
      <c r="E183" s="312"/>
      <c r="F183" s="312"/>
      <c r="G183" s="312"/>
      <c r="H183" s="312"/>
      <c r="I183" s="312"/>
      <c r="J183" s="312"/>
      <c r="K183" s="312"/>
      <c r="L183" s="312"/>
      <c r="M183" s="312"/>
      <c r="N183" s="312"/>
      <c r="O183" s="312"/>
      <c r="P183" s="312"/>
      <c r="Q183" s="312"/>
      <c r="R183" s="312"/>
      <c r="S183" s="312"/>
      <c r="T183" s="312"/>
      <c r="U183" s="312"/>
      <c r="V183" s="312"/>
      <c r="W183" s="312"/>
      <c r="X183" s="312"/>
      <c r="Y183" s="312"/>
    </row>
    <row r="184" ht="18.75" spans="1:25">
      <c r="A184" s="312"/>
      <c r="B184" s="312"/>
      <c r="C184" s="312"/>
      <c r="D184" s="312"/>
      <c r="E184" s="312"/>
      <c r="F184" s="312"/>
      <c r="G184" s="312"/>
      <c r="H184" s="312"/>
      <c r="I184" s="312"/>
      <c r="J184" s="312"/>
      <c r="K184" s="312"/>
      <c r="L184" s="312"/>
      <c r="M184" s="312"/>
      <c r="N184" s="312"/>
      <c r="O184" s="312"/>
      <c r="P184" s="312"/>
      <c r="Q184" s="312"/>
      <c r="R184" s="312"/>
      <c r="S184" s="312"/>
      <c r="T184" s="312"/>
      <c r="U184" s="312"/>
      <c r="V184" s="312"/>
      <c r="W184" s="312"/>
      <c r="X184" s="312"/>
      <c r="Y184" s="312"/>
    </row>
    <row r="185" ht="18.75" spans="1:25">
      <c r="A185" s="312"/>
      <c r="B185" s="312"/>
      <c r="C185" s="312"/>
      <c r="D185" s="312"/>
      <c r="E185" s="312"/>
      <c r="F185" s="312"/>
      <c r="G185" s="312"/>
      <c r="H185" s="312"/>
      <c r="I185" s="312"/>
      <c r="J185" s="312"/>
      <c r="K185" s="312"/>
      <c r="L185" s="312"/>
      <c r="M185" s="312"/>
      <c r="N185" s="312"/>
      <c r="O185" s="312"/>
      <c r="P185" s="312"/>
      <c r="Q185" s="312"/>
      <c r="R185" s="312"/>
      <c r="S185" s="312"/>
      <c r="T185" s="312"/>
      <c r="U185" s="312"/>
      <c r="V185" s="312"/>
      <c r="W185" s="312"/>
      <c r="X185" s="312"/>
      <c r="Y185" s="312"/>
    </row>
    <row r="186" ht="18.75" spans="1:25">
      <c r="A186" s="312"/>
      <c r="B186" s="312"/>
      <c r="C186" s="312"/>
      <c r="D186" s="312"/>
      <c r="E186" s="312"/>
      <c r="F186" s="312"/>
      <c r="G186" s="312"/>
      <c r="H186" s="312"/>
      <c r="I186" s="312"/>
      <c r="J186" s="312"/>
      <c r="K186" s="312"/>
      <c r="L186" s="312"/>
      <c r="M186" s="312"/>
      <c r="N186" s="312"/>
      <c r="O186" s="312"/>
      <c r="P186" s="312"/>
      <c r="Q186" s="312"/>
      <c r="R186" s="312"/>
      <c r="S186" s="312"/>
      <c r="T186" s="312"/>
      <c r="U186" s="312"/>
      <c r="V186" s="312"/>
      <c r="W186" s="312"/>
      <c r="X186" s="312"/>
      <c r="Y186" s="312"/>
    </row>
    <row r="187" ht="18.75" spans="1:25">
      <c r="A187" s="312"/>
      <c r="B187" s="312"/>
      <c r="C187" s="312"/>
      <c r="D187" s="312"/>
      <c r="E187" s="312"/>
      <c r="F187" s="312"/>
      <c r="G187" s="312"/>
      <c r="H187" s="312"/>
      <c r="I187" s="312"/>
      <c r="J187" s="312"/>
      <c r="K187" s="312"/>
      <c r="L187" s="312"/>
      <c r="M187" s="312"/>
      <c r="N187" s="312"/>
      <c r="O187" s="312"/>
      <c r="P187" s="312"/>
      <c r="Q187" s="312"/>
      <c r="R187" s="312"/>
      <c r="S187" s="312"/>
      <c r="T187" s="312"/>
      <c r="U187" s="312"/>
      <c r="V187" s="312"/>
      <c r="W187" s="312"/>
      <c r="X187" s="312"/>
      <c r="Y187" s="312"/>
    </row>
    <row r="188" ht="18.75" spans="1:25">
      <c r="A188" s="312"/>
      <c r="B188" s="312"/>
      <c r="C188" s="312"/>
      <c r="D188" s="312"/>
      <c r="E188" s="312"/>
      <c r="F188" s="312"/>
      <c r="G188" s="312"/>
      <c r="H188" s="312"/>
      <c r="I188" s="312"/>
      <c r="J188" s="312"/>
      <c r="K188" s="312"/>
      <c r="L188" s="312"/>
      <c r="M188" s="312"/>
      <c r="N188" s="312"/>
      <c r="O188" s="312"/>
      <c r="P188" s="312"/>
      <c r="Q188" s="312"/>
      <c r="R188" s="312"/>
      <c r="S188" s="312"/>
      <c r="T188" s="312"/>
      <c r="U188" s="312"/>
      <c r="V188" s="312"/>
      <c r="W188" s="312"/>
      <c r="X188" s="312"/>
      <c r="Y188" s="312"/>
    </row>
    <row r="189" ht="18.75" spans="1:25">
      <c r="A189" s="312"/>
      <c r="B189" s="312"/>
      <c r="C189" s="312"/>
      <c r="D189" s="312"/>
      <c r="E189" s="312"/>
      <c r="F189" s="312"/>
      <c r="G189" s="312"/>
      <c r="H189" s="312"/>
      <c r="I189" s="312"/>
      <c r="J189" s="312"/>
      <c r="K189" s="312"/>
      <c r="L189" s="312"/>
      <c r="M189" s="312"/>
      <c r="N189" s="312"/>
      <c r="O189" s="312"/>
      <c r="P189" s="312"/>
      <c r="Q189" s="312"/>
      <c r="R189" s="312"/>
      <c r="S189" s="312"/>
      <c r="T189" s="312"/>
      <c r="U189" s="312"/>
      <c r="V189" s="312"/>
      <c r="W189" s="312"/>
      <c r="X189" s="312"/>
      <c r="Y189" s="312"/>
    </row>
    <row r="190" ht="18.75" spans="1:25">
      <c r="A190" s="312"/>
      <c r="B190" s="312"/>
      <c r="C190" s="312"/>
      <c r="D190" s="312"/>
      <c r="E190" s="312"/>
      <c r="F190" s="312"/>
      <c r="G190" s="312"/>
      <c r="H190" s="312"/>
      <c r="I190" s="312"/>
      <c r="J190" s="312"/>
      <c r="K190" s="312"/>
      <c r="L190" s="312"/>
      <c r="M190" s="312"/>
      <c r="N190" s="312"/>
      <c r="O190" s="312"/>
      <c r="P190" s="312"/>
      <c r="Q190" s="312"/>
      <c r="R190" s="312"/>
      <c r="S190" s="312"/>
      <c r="T190" s="312"/>
      <c r="U190" s="312"/>
      <c r="V190" s="312"/>
      <c r="W190" s="312"/>
      <c r="X190" s="312"/>
      <c r="Y190" s="312"/>
    </row>
    <row r="191" ht="18.75" spans="1:25">
      <c r="A191" s="312"/>
      <c r="B191" s="312"/>
      <c r="C191" s="312"/>
      <c r="D191" s="312"/>
      <c r="E191" s="312"/>
      <c r="F191" s="312"/>
      <c r="G191" s="312"/>
      <c r="H191" s="312"/>
      <c r="I191" s="312"/>
      <c r="J191" s="312"/>
      <c r="K191" s="312"/>
      <c r="L191" s="312"/>
      <c r="M191" s="312"/>
      <c r="N191" s="312"/>
      <c r="O191" s="312"/>
      <c r="P191" s="312"/>
      <c r="Q191" s="312"/>
      <c r="R191" s="312"/>
      <c r="S191" s="312"/>
      <c r="T191" s="312"/>
      <c r="U191" s="312"/>
      <c r="V191" s="312"/>
      <c r="W191" s="312"/>
      <c r="X191" s="312"/>
      <c r="Y191" s="312"/>
    </row>
    <row r="192" ht="18.75" spans="1:25">
      <c r="A192" s="312"/>
      <c r="B192" s="312"/>
      <c r="C192" s="312"/>
      <c r="D192" s="312"/>
      <c r="E192" s="312"/>
      <c r="F192" s="312"/>
      <c r="G192" s="312"/>
      <c r="H192" s="312"/>
      <c r="I192" s="312"/>
      <c r="J192" s="312"/>
      <c r="K192" s="312"/>
      <c r="L192" s="312"/>
      <c r="M192" s="312"/>
      <c r="N192" s="312"/>
      <c r="O192" s="312"/>
      <c r="P192" s="312"/>
      <c r="Q192" s="312"/>
      <c r="R192" s="312"/>
      <c r="S192" s="312"/>
      <c r="T192" s="312"/>
      <c r="U192" s="312"/>
      <c r="V192" s="312"/>
      <c r="W192" s="312"/>
      <c r="X192" s="312"/>
      <c r="Y192" s="312"/>
    </row>
    <row r="193" ht="18.75" spans="1:25">
      <c r="A193" s="312"/>
      <c r="B193" s="312"/>
      <c r="C193" s="312"/>
      <c r="D193" s="312"/>
      <c r="E193" s="312"/>
      <c r="F193" s="312"/>
      <c r="G193" s="312"/>
      <c r="H193" s="312"/>
      <c r="I193" s="312"/>
      <c r="J193" s="312"/>
      <c r="K193" s="312"/>
      <c r="L193" s="312"/>
      <c r="M193" s="312"/>
      <c r="N193" s="312"/>
      <c r="O193" s="312"/>
      <c r="P193" s="312"/>
      <c r="Q193" s="312"/>
      <c r="R193" s="312"/>
      <c r="S193" s="312"/>
      <c r="T193" s="312"/>
      <c r="U193" s="312"/>
      <c r="V193" s="312"/>
      <c r="W193" s="312"/>
      <c r="X193" s="312"/>
      <c r="Y193" s="312"/>
    </row>
    <row r="194" ht="18.75" spans="1:25">
      <c r="A194" s="312"/>
      <c r="B194" s="312"/>
      <c r="C194" s="312"/>
      <c r="D194" s="312"/>
      <c r="E194" s="312"/>
      <c r="F194" s="312"/>
      <c r="G194" s="312"/>
      <c r="H194" s="312"/>
      <c r="I194" s="312"/>
      <c r="J194" s="312"/>
      <c r="K194" s="312"/>
      <c r="L194" s="312"/>
      <c r="M194" s="312"/>
      <c r="N194" s="312"/>
      <c r="O194" s="312"/>
      <c r="P194" s="312"/>
      <c r="Q194" s="312"/>
      <c r="R194" s="312"/>
      <c r="S194" s="312"/>
      <c r="T194" s="312"/>
      <c r="U194" s="312"/>
      <c r="V194" s="312"/>
      <c r="W194" s="312"/>
      <c r="X194" s="312"/>
      <c r="Y194" s="312"/>
    </row>
    <row r="195" ht="18.75" spans="1:25">
      <c r="A195" s="312"/>
      <c r="B195" s="312"/>
      <c r="C195" s="312"/>
      <c r="D195" s="312"/>
      <c r="E195" s="312"/>
      <c r="F195" s="312"/>
      <c r="G195" s="312"/>
      <c r="H195" s="312"/>
      <c r="I195" s="312"/>
      <c r="J195" s="312"/>
      <c r="K195" s="312"/>
      <c r="L195" s="312"/>
      <c r="M195" s="312"/>
      <c r="N195" s="312"/>
      <c r="O195" s="312"/>
      <c r="P195" s="312"/>
      <c r="Q195" s="312"/>
      <c r="R195" s="312"/>
      <c r="S195" s="312"/>
      <c r="T195" s="312"/>
      <c r="U195" s="312"/>
      <c r="V195" s="312"/>
      <c r="W195" s="312"/>
      <c r="X195" s="312"/>
      <c r="Y195" s="312"/>
    </row>
    <row r="196" ht="18.75" spans="1:25">
      <c r="A196" s="312"/>
      <c r="B196" s="312"/>
      <c r="C196" s="312"/>
      <c r="D196" s="312"/>
      <c r="E196" s="312"/>
      <c r="F196" s="312"/>
      <c r="G196" s="312"/>
      <c r="H196" s="312"/>
      <c r="I196" s="312"/>
      <c r="J196" s="312"/>
      <c r="K196" s="312"/>
      <c r="L196" s="312"/>
      <c r="M196" s="312"/>
      <c r="N196" s="312"/>
      <c r="O196" s="312"/>
      <c r="P196" s="312"/>
      <c r="Q196" s="312"/>
      <c r="R196" s="312"/>
      <c r="S196" s="312"/>
      <c r="T196" s="312"/>
      <c r="U196" s="312"/>
      <c r="V196" s="312"/>
      <c r="W196" s="312"/>
      <c r="X196" s="312"/>
      <c r="Y196" s="312"/>
    </row>
    <row r="197" ht="18.75" spans="1:25">
      <c r="A197" s="312"/>
      <c r="B197" s="312"/>
      <c r="C197" s="312"/>
      <c r="D197" s="312"/>
      <c r="E197" s="312"/>
      <c r="F197" s="312"/>
      <c r="G197" s="312"/>
      <c r="H197" s="312"/>
      <c r="I197" s="312"/>
      <c r="J197" s="312"/>
      <c r="K197" s="312"/>
      <c r="L197" s="312"/>
      <c r="M197" s="312"/>
      <c r="N197" s="312"/>
      <c r="O197" s="312"/>
      <c r="P197" s="312"/>
      <c r="Q197" s="312"/>
      <c r="R197" s="312"/>
      <c r="S197" s="312"/>
      <c r="T197" s="312"/>
      <c r="U197" s="312"/>
      <c r="V197" s="312"/>
      <c r="W197" s="312"/>
      <c r="X197" s="312"/>
      <c r="Y197" s="312"/>
    </row>
    <row r="198" ht="18.75" spans="1:25">
      <c r="A198" s="312"/>
      <c r="B198" s="312"/>
      <c r="C198" s="312"/>
      <c r="D198" s="312"/>
      <c r="E198" s="312"/>
      <c r="F198" s="312"/>
      <c r="G198" s="312"/>
      <c r="H198" s="312"/>
      <c r="I198" s="312"/>
      <c r="J198" s="312"/>
      <c r="K198" s="312"/>
      <c r="L198" s="312"/>
      <c r="M198" s="312"/>
      <c r="N198" s="312"/>
      <c r="O198" s="312"/>
      <c r="P198" s="312"/>
      <c r="Q198" s="312"/>
      <c r="R198" s="312"/>
      <c r="S198" s="312"/>
      <c r="T198" s="312"/>
      <c r="U198" s="312"/>
      <c r="V198" s="312"/>
      <c r="W198" s="312"/>
      <c r="X198" s="312"/>
      <c r="Y198" s="312"/>
    </row>
    <row r="199" ht="18.75" spans="1:25">
      <c r="A199" s="312"/>
      <c r="B199" s="312"/>
      <c r="C199" s="312"/>
      <c r="D199" s="312"/>
      <c r="E199" s="312"/>
      <c r="F199" s="312"/>
      <c r="G199" s="312"/>
      <c r="H199" s="312"/>
      <c r="I199" s="312"/>
      <c r="J199" s="312"/>
      <c r="K199" s="312"/>
      <c r="L199" s="312"/>
      <c r="M199" s="312"/>
      <c r="N199" s="312"/>
      <c r="O199" s="312"/>
      <c r="P199" s="312"/>
      <c r="Q199" s="312"/>
      <c r="R199" s="312"/>
      <c r="S199" s="312"/>
      <c r="T199" s="312"/>
      <c r="U199" s="312"/>
      <c r="V199" s="312"/>
      <c r="W199" s="312"/>
      <c r="X199" s="312"/>
      <c r="Y199" s="312"/>
    </row>
    <row r="200" ht="18.75" spans="1:25">
      <c r="A200" s="312"/>
      <c r="B200" s="312"/>
      <c r="C200" s="312"/>
      <c r="D200" s="312"/>
      <c r="E200" s="312"/>
      <c r="F200" s="312"/>
      <c r="G200" s="312"/>
      <c r="H200" s="312"/>
      <c r="I200" s="312"/>
      <c r="J200" s="312"/>
      <c r="K200" s="312"/>
      <c r="L200" s="312"/>
      <c r="M200" s="312"/>
      <c r="N200" s="312"/>
      <c r="O200" s="312"/>
      <c r="P200" s="312"/>
      <c r="Q200" s="312"/>
      <c r="R200" s="312"/>
      <c r="S200" s="312"/>
      <c r="T200" s="312"/>
      <c r="U200" s="312"/>
      <c r="V200" s="312"/>
      <c r="W200" s="312"/>
      <c r="X200" s="312"/>
      <c r="Y200" s="312"/>
    </row>
    <row r="201" ht="18.75" spans="1:25">
      <c r="A201" s="312"/>
      <c r="B201" s="312"/>
      <c r="C201" s="312"/>
      <c r="D201" s="312"/>
      <c r="E201" s="312"/>
      <c r="F201" s="312"/>
      <c r="G201" s="312"/>
      <c r="H201" s="312"/>
      <c r="I201" s="312"/>
      <c r="J201" s="312"/>
      <c r="K201" s="312"/>
      <c r="L201" s="312"/>
      <c r="M201" s="312"/>
      <c r="N201" s="312"/>
      <c r="O201" s="312"/>
      <c r="P201" s="312"/>
      <c r="Q201" s="312"/>
      <c r="R201" s="312"/>
      <c r="S201" s="312"/>
      <c r="T201" s="312"/>
      <c r="U201" s="312"/>
      <c r="V201" s="312"/>
      <c r="W201" s="312"/>
      <c r="X201" s="312"/>
      <c r="Y201" s="312"/>
    </row>
    <row r="202" ht="18.75" spans="1:25">
      <c r="A202" s="312"/>
      <c r="B202" s="312"/>
      <c r="C202" s="312"/>
      <c r="D202" s="312"/>
      <c r="E202" s="312"/>
      <c r="F202" s="312"/>
      <c r="G202" s="312"/>
      <c r="H202" s="312"/>
      <c r="I202" s="312"/>
      <c r="J202" s="312"/>
      <c r="K202" s="312"/>
      <c r="L202" s="312"/>
      <c r="M202" s="312"/>
      <c r="N202" s="312"/>
      <c r="O202" s="312"/>
      <c r="P202" s="312"/>
      <c r="Q202" s="312"/>
      <c r="R202" s="312"/>
      <c r="S202" s="312"/>
      <c r="T202" s="312"/>
      <c r="U202" s="312"/>
      <c r="V202" s="312"/>
      <c r="W202" s="312"/>
      <c r="X202" s="312"/>
      <c r="Y202" s="312"/>
    </row>
    <row r="203" ht="18.75" spans="1:25">
      <c r="A203" s="312"/>
      <c r="B203" s="312"/>
      <c r="C203" s="312"/>
      <c r="D203" s="312"/>
      <c r="E203" s="312"/>
      <c r="F203" s="312"/>
      <c r="G203" s="312"/>
      <c r="H203" s="312"/>
      <c r="I203" s="312"/>
      <c r="J203" s="312"/>
      <c r="K203" s="312"/>
      <c r="L203" s="312"/>
      <c r="M203" s="312"/>
      <c r="N203" s="312"/>
      <c r="O203" s="312"/>
      <c r="P203" s="312"/>
      <c r="Q203" s="312"/>
      <c r="R203" s="312"/>
      <c r="S203" s="312"/>
      <c r="T203" s="312"/>
      <c r="U203" s="312"/>
      <c r="V203" s="312"/>
      <c r="W203" s="312"/>
      <c r="X203" s="312"/>
      <c r="Y203" s="312"/>
    </row>
    <row r="204" ht="18.75" spans="1:25">
      <c r="A204" s="312"/>
      <c r="B204" s="312"/>
      <c r="C204" s="312"/>
      <c r="D204" s="312"/>
      <c r="E204" s="312"/>
      <c r="F204" s="312"/>
      <c r="G204" s="312"/>
      <c r="H204" s="312"/>
      <c r="I204" s="312"/>
      <c r="J204" s="312"/>
      <c r="K204" s="312"/>
      <c r="L204" s="312"/>
      <c r="M204" s="312"/>
      <c r="N204" s="312"/>
      <c r="O204" s="312"/>
      <c r="P204" s="312"/>
      <c r="Q204" s="312"/>
      <c r="R204" s="312"/>
      <c r="S204" s="312"/>
      <c r="T204" s="312"/>
      <c r="U204" s="312"/>
      <c r="V204" s="312"/>
      <c r="W204" s="312"/>
      <c r="X204" s="312"/>
      <c r="Y204" s="312"/>
    </row>
    <row r="205" ht="18.75" spans="1:25">
      <c r="A205" s="312"/>
      <c r="B205" s="312"/>
      <c r="C205" s="312"/>
      <c r="D205" s="312"/>
      <c r="E205" s="312"/>
      <c r="F205" s="312"/>
      <c r="G205" s="312"/>
      <c r="H205" s="312"/>
      <c r="I205" s="312"/>
      <c r="J205" s="312"/>
      <c r="K205" s="312"/>
      <c r="L205" s="312"/>
      <c r="M205" s="312"/>
      <c r="N205" s="312"/>
      <c r="O205" s="312"/>
      <c r="P205" s="312"/>
      <c r="Q205" s="312"/>
      <c r="R205" s="312"/>
      <c r="S205" s="312"/>
      <c r="T205" s="312"/>
      <c r="U205" s="312"/>
      <c r="V205" s="312"/>
      <c r="W205" s="312"/>
      <c r="X205" s="312"/>
      <c r="Y205" s="312"/>
    </row>
    <row r="206" ht="18.75" spans="1:25">
      <c r="A206" s="312"/>
      <c r="B206" s="312"/>
      <c r="C206" s="312"/>
      <c r="D206" s="312"/>
      <c r="E206" s="312"/>
      <c r="F206" s="312"/>
      <c r="G206" s="312"/>
      <c r="H206" s="312"/>
      <c r="I206" s="312"/>
      <c r="J206" s="312"/>
      <c r="K206" s="312"/>
      <c r="L206" s="312"/>
      <c r="M206" s="312"/>
      <c r="N206" s="312"/>
      <c r="O206" s="312"/>
      <c r="P206" s="312"/>
      <c r="Q206" s="312"/>
      <c r="R206" s="312"/>
      <c r="S206" s="312"/>
      <c r="T206" s="312"/>
      <c r="U206" s="312"/>
      <c r="V206" s="312"/>
      <c r="W206" s="312"/>
      <c r="X206" s="312"/>
      <c r="Y206" s="312"/>
    </row>
    <row r="207" ht="18.75" spans="1:25">
      <c r="A207" s="312"/>
      <c r="B207" s="312"/>
      <c r="C207" s="312"/>
      <c r="D207" s="312"/>
      <c r="E207" s="312"/>
      <c r="F207" s="312"/>
      <c r="G207" s="312"/>
      <c r="H207" s="312"/>
      <c r="I207" s="312"/>
      <c r="J207" s="312"/>
      <c r="K207" s="312"/>
      <c r="L207" s="312"/>
      <c r="M207" s="312"/>
      <c r="N207" s="312"/>
      <c r="O207" s="312"/>
      <c r="P207" s="312"/>
      <c r="Q207" s="312"/>
      <c r="R207" s="312"/>
      <c r="S207" s="312"/>
      <c r="T207" s="312"/>
      <c r="U207" s="312"/>
      <c r="V207" s="312"/>
      <c r="W207" s="312"/>
      <c r="X207" s="312"/>
      <c r="Y207" s="312"/>
    </row>
    <row r="208" ht="18.75" spans="1:25">
      <c r="A208" s="312"/>
      <c r="B208" s="312"/>
      <c r="C208" s="312"/>
      <c r="D208" s="312"/>
      <c r="E208" s="312"/>
      <c r="F208" s="312"/>
      <c r="G208" s="312"/>
      <c r="H208" s="312"/>
      <c r="I208" s="312"/>
      <c r="J208" s="312"/>
      <c r="K208" s="312"/>
      <c r="L208" s="312"/>
      <c r="M208" s="312"/>
      <c r="N208" s="312"/>
      <c r="O208" s="312"/>
      <c r="P208" s="312"/>
      <c r="Q208" s="312"/>
      <c r="R208" s="312"/>
      <c r="S208" s="312"/>
      <c r="T208" s="312"/>
      <c r="U208" s="312"/>
      <c r="V208" s="312"/>
      <c r="W208" s="312"/>
      <c r="X208" s="312"/>
      <c r="Y208" s="312"/>
    </row>
  </sheetData>
  <mergeCells count="46">
    <mergeCell ref="I1:T1"/>
    <mergeCell ref="I2:T2"/>
    <mergeCell ref="C7:F7"/>
    <mergeCell ref="G7:J7"/>
    <mergeCell ref="K7:O7"/>
    <mergeCell ref="P7:S7"/>
    <mergeCell ref="T7:X7"/>
    <mergeCell ref="Y7:Z7"/>
    <mergeCell ref="AC11:AD11"/>
    <mergeCell ref="AC12:AF12"/>
    <mergeCell ref="AC13:AF13"/>
    <mergeCell ref="AC14:AF14"/>
    <mergeCell ref="A22:B22"/>
    <mergeCell ref="C22:Z22"/>
    <mergeCell ref="G24:J24"/>
    <mergeCell ref="B26:D26"/>
    <mergeCell ref="B27:D27"/>
    <mergeCell ref="B28:D28"/>
    <mergeCell ref="L28:P28"/>
    <mergeCell ref="B29:D29"/>
    <mergeCell ref="B30:D30"/>
    <mergeCell ref="B31:D31"/>
    <mergeCell ref="B32:D32"/>
    <mergeCell ref="B33:D33"/>
    <mergeCell ref="B34:D34"/>
    <mergeCell ref="B35:D35"/>
    <mergeCell ref="L35:P35"/>
    <mergeCell ref="B36:D36"/>
    <mergeCell ref="A37:E37"/>
    <mergeCell ref="A7:A9"/>
    <mergeCell ref="A10:A11"/>
    <mergeCell ref="A12:A13"/>
    <mergeCell ref="A14:A15"/>
    <mergeCell ref="A16:A17"/>
    <mergeCell ref="A18:A19"/>
    <mergeCell ref="A24:A25"/>
    <mergeCell ref="E24:E25"/>
    <mergeCell ref="F24:F25"/>
    <mergeCell ref="K10:K11"/>
    <mergeCell ref="K16:K17"/>
    <mergeCell ref="K18:K19"/>
    <mergeCell ref="K24:K25"/>
    <mergeCell ref="V16:V17"/>
    <mergeCell ref="A1:H2"/>
    <mergeCell ref="W10:Z19"/>
    <mergeCell ref="B24:D25"/>
  </mergeCells>
  <pageMargins left="0.37" right="0.22" top="0.36" bottom="0.23" header="0.3" footer="0.3"/>
  <pageSetup paperSize="8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08"/>
  <sheetViews>
    <sheetView zoomScale="66" zoomScaleNormal="66" topLeftCell="C18" workbookViewId="0">
      <selection activeCell="AB33" sqref="AB33"/>
    </sheetView>
  </sheetViews>
  <sheetFormatPr defaultColWidth="9.1047619047619" defaultRowHeight="15"/>
  <cols>
    <col min="1" max="1" width="14.1047619047619" style="2" customWidth="1"/>
    <col min="2" max="2" width="11.6666666666667" style="2" customWidth="1"/>
    <col min="3" max="26" width="10.6666666666667" style="2" customWidth="1"/>
    <col min="27" max="16384" width="9.1047619047619" style="2"/>
  </cols>
  <sheetData>
    <row r="1" ht="57" customHeight="1" spans="1:33">
      <c r="A1" s="3" t="s">
        <v>0</v>
      </c>
      <c r="B1" s="3"/>
      <c r="C1" s="3"/>
      <c r="D1" s="3"/>
      <c r="E1" s="3"/>
      <c r="F1" s="3"/>
      <c r="G1" s="3"/>
      <c r="H1" s="3"/>
      <c r="I1" s="4" t="s">
        <v>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5"/>
      <c r="W1" s="6" t="s">
        <v>2</v>
      </c>
      <c r="X1" s="6" t="s">
        <v>201</v>
      </c>
    </row>
    <row r="2" ht="25.5" customHeight="1" spans="1:33">
      <c r="A2" s="3"/>
      <c r="B2" s="3"/>
      <c r="C2" s="3"/>
      <c r="D2" s="3"/>
      <c r="E2" s="3"/>
      <c r="F2" s="3"/>
      <c r="G2" s="3"/>
      <c r="H2" s="3"/>
      <c r="I2" s="7" t="s">
        <v>4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8"/>
      <c r="W2" s="9" t="s">
        <v>170</v>
      </c>
    </row>
    <row r="3" ht="20.25" spans="1:33">
      <c r="W3" s="10" t="s">
        <v>171</v>
      </c>
      <c r="Y3" s="10" t="s">
        <v>7</v>
      </c>
    </row>
    <row r="4" ht="20.25" spans="1:33">
      <c r="W4" s="10" t="s">
        <v>202</v>
      </c>
    </row>
    <row r="5" ht="25.5" customHeight="1" spans="1:33">
      <c r="H5" s="11"/>
      <c r="J5" s="12" t="s">
        <v>9</v>
      </c>
      <c r="W5" s="10" t="s">
        <v>203</v>
      </c>
    </row>
    <row r="6" ht="15.75"/>
    <row r="7" ht="24.75" customHeight="1" spans="1:33">
      <c r="A7" s="13" t="s">
        <v>11</v>
      </c>
      <c r="B7" s="14" t="s">
        <v>12</v>
      </c>
      <c r="C7" s="15">
        <v>3</v>
      </c>
      <c r="D7" s="16"/>
      <c r="E7" s="16"/>
      <c r="F7" s="17"/>
      <c r="G7" s="15">
        <v>4</v>
      </c>
      <c r="H7" s="16"/>
      <c r="I7" s="16"/>
      <c r="J7" s="17"/>
      <c r="K7" s="15">
        <v>5</v>
      </c>
      <c r="L7" s="16"/>
      <c r="M7" s="16"/>
      <c r="N7" s="16"/>
      <c r="O7" s="17"/>
      <c r="P7" s="15">
        <v>6</v>
      </c>
      <c r="Q7" s="16"/>
      <c r="R7" s="16"/>
      <c r="S7" s="17"/>
      <c r="T7" s="18" t="s">
        <v>13</v>
      </c>
      <c r="U7" s="19"/>
      <c r="V7" s="19"/>
      <c r="W7" s="19"/>
      <c r="X7" s="20"/>
      <c r="Y7" s="15">
        <v>8</v>
      </c>
      <c r="Z7" s="17"/>
    </row>
    <row r="8" ht="19.5" customHeight="1" spans="1:33">
      <c r="A8" s="21"/>
      <c r="B8" s="22" t="s">
        <v>14</v>
      </c>
      <c r="C8" s="23">
        <v>1</v>
      </c>
      <c r="D8" s="24">
        <v>2</v>
      </c>
      <c r="E8" s="24">
        <v>3</v>
      </c>
      <c r="F8" s="25">
        <v>4</v>
      </c>
      <c r="G8" s="23">
        <v>5</v>
      </c>
      <c r="H8" s="24">
        <v>6</v>
      </c>
      <c r="I8" s="24">
        <v>7</v>
      </c>
      <c r="J8" s="25">
        <v>8</v>
      </c>
      <c r="K8" s="23">
        <v>9</v>
      </c>
      <c r="L8" s="24">
        <v>10</v>
      </c>
      <c r="M8" s="24">
        <v>11</v>
      </c>
      <c r="N8" s="24">
        <v>12</v>
      </c>
      <c r="O8" s="25">
        <v>13</v>
      </c>
      <c r="P8" s="23">
        <v>14</v>
      </c>
      <c r="Q8" s="24">
        <v>15</v>
      </c>
      <c r="R8" s="24">
        <v>16</v>
      </c>
      <c r="S8" s="25">
        <v>17</v>
      </c>
      <c r="T8" s="23">
        <v>18</v>
      </c>
      <c r="U8" s="24">
        <v>19</v>
      </c>
      <c r="V8" s="24">
        <v>20</v>
      </c>
      <c r="W8" s="24">
        <v>21</v>
      </c>
      <c r="X8" s="25">
        <v>22</v>
      </c>
      <c r="Y8" s="23">
        <v>23</v>
      </c>
      <c r="Z8" s="26">
        <v>24</v>
      </c>
    </row>
    <row r="9" ht="33" customHeight="1" spans="1:33">
      <c r="A9" s="27"/>
      <c r="B9" s="28" t="s">
        <v>15</v>
      </c>
      <c r="C9" s="29" t="s">
        <v>16</v>
      </c>
      <c r="D9" s="30" t="s">
        <v>175</v>
      </c>
      <c r="E9" s="30" t="s">
        <v>204</v>
      </c>
      <c r="F9" s="31" t="s">
        <v>19</v>
      </c>
      <c r="G9" s="29" t="s">
        <v>20</v>
      </c>
      <c r="H9" s="30" t="s">
        <v>34</v>
      </c>
      <c r="I9" s="30" t="s">
        <v>22</v>
      </c>
      <c r="J9" s="31" t="s">
        <v>23</v>
      </c>
      <c r="K9" s="29" t="s">
        <v>24</v>
      </c>
      <c r="L9" s="30" t="s">
        <v>176</v>
      </c>
      <c r="M9" s="30" t="s">
        <v>205</v>
      </c>
      <c r="N9" s="30" t="s">
        <v>27</v>
      </c>
      <c r="O9" s="31" t="s">
        <v>28</v>
      </c>
      <c r="P9" s="29" t="s">
        <v>29</v>
      </c>
      <c r="Q9" s="30" t="s">
        <v>30</v>
      </c>
      <c r="R9" s="30" t="s">
        <v>206</v>
      </c>
      <c r="S9" s="31" t="s">
        <v>32</v>
      </c>
      <c r="T9" s="29" t="s">
        <v>207</v>
      </c>
      <c r="U9" s="30" t="s">
        <v>21</v>
      </c>
      <c r="V9" s="30" t="s">
        <v>22</v>
      </c>
      <c r="W9" s="30" t="s">
        <v>23</v>
      </c>
      <c r="X9" s="31" t="s">
        <v>36</v>
      </c>
      <c r="Y9" s="29" t="s">
        <v>37</v>
      </c>
      <c r="Z9" s="32" t="s">
        <v>38</v>
      </c>
    </row>
    <row r="10" ht="39.9" customHeight="1" spans="1:33">
      <c r="A10" s="13">
        <v>2</v>
      </c>
      <c r="B10" s="33" t="s">
        <v>39</v>
      </c>
      <c r="C10" s="34"/>
      <c r="D10" s="35"/>
      <c r="E10" s="35"/>
      <c r="F10" s="36"/>
      <c r="G10" s="34"/>
      <c r="H10" s="37"/>
      <c r="I10" s="37"/>
      <c r="J10" s="38"/>
      <c r="K10" s="39" t="s">
        <v>41</v>
      </c>
      <c r="L10" s="40"/>
      <c r="M10" s="40"/>
      <c r="N10" s="41"/>
      <c r="O10" s="42"/>
      <c r="P10" s="43"/>
      <c r="Q10" s="44"/>
      <c r="R10" s="44"/>
      <c r="S10" s="45"/>
      <c r="T10" s="46" t="s">
        <v>43</v>
      </c>
      <c r="U10" s="47" t="s">
        <v>178</v>
      </c>
      <c r="V10" s="48"/>
      <c r="W10" s="49" t="s">
        <v>44</v>
      </c>
      <c r="X10" s="49"/>
      <c r="Y10" s="49"/>
      <c r="Z10" s="50"/>
      <c r="AC10" s="51"/>
      <c r="AD10" s="52"/>
    </row>
    <row r="11" ht="39.9" customHeight="1" spans="1:33">
      <c r="A11" s="53"/>
      <c r="B11" s="54" t="s">
        <v>45</v>
      </c>
      <c r="C11" s="55"/>
      <c r="D11" s="56"/>
      <c r="E11" s="56"/>
      <c r="F11" s="57"/>
      <c r="G11" s="55"/>
      <c r="H11" s="56"/>
      <c r="I11" s="56"/>
      <c r="J11" s="57"/>
      <c r="K11" s="58"/>
      <c r="L11" s="59"/>
      <c r="M11" s="60"/>
      <c r="N11" s="61"/>
      <c r="O11" s="62"/>
      <c r="P11" s="63"/>
      <c r="Q11" s="64"/>
      <c r="R11" s="64"/>
      <c r="S11" s="65"/>
      <c r="T11" s="66"/>
      <c r="U11" s="67"/>
      <c r="V11" s="68" t="s">
        <v>179</v>
      </c>
      <c r="W11" s="49"/>
      <c r="X11" s="49"/>
      <c r="Y11" s="49"/>
      <c r="Z11" s="50"/>
      <c r="AC11" s="69"/>
      <c r="AD11" s="69"/>
    </row>
    <row r="12" ht="39.9" customHeight="1" spans="1:33">
      <c r="A12" s="70">
        <v>3</v>
      </c>
      <c r="B12" s="33" t="s">
        <v>39</v>
      </c>
      <c r="C12" s="71"/>
      <c r="D12" s="72"/>
      <c r="E12" s="72"/>
      <c r="F12" s="73"/>
      <c r="G12" s="74"/>
      <c r="H12" s="72"/>
      <c r="I12" s="75"/>
      <c r="J12" s="76"/>
      <c r="K12" s="77" t="s">
        <v>142</v>
      </c>
      <c r="L12" s="78"/>
      <c r="M12" s="79"/>
      <c r="N12" s="79"/>
      <c r="O12" s="80"/>
      <c r="P12" s="81"/>
      <c r="Q12" s="79"/>
      <c r="R12" s="79"/>
      <c r="S12" s="80"/>
      <c r="T12" s="82"/>
      <c r="U12" s="83"/>
      <c r="V12" s="83"/>
      <c r="W12" s="49"/>
      <c r="X12" s="49"/>
      <c r="Y12" s="49"/>
      <c r="Z12" s="50"/>
      <c r="AC12" s="84"/>
      <c r="AD12" s="84"/>
      <c r="AE12" s="84"/>
      <c r="AF12" s="84"/>
    </row>
    <row r="13" ht="39.9" customHeight="1" spans="1:33">
      <c r="A13" s="53"/>
      <c r="B13" s="54" t="s">
        <v>45</v>
      </c>
      <c r="C13" s="85"/>
      <c r="D13" s="86"/>
      <c r="E13" s="86"/>
      <c r="F13" s="87"/>
      <c r="G13" s="88"/>
      <c r="H13" s="89"/>
      <c r="I13" s="90"/>
      <c r="J13" s="91"/>
      <c r="K13" s="92" t="s">
        <v>181</v>
      </c>
      <c r="L13" s="93"/>
      <c r="M13" s="93"/>
      <c r="N13" s="94"/>
      <c r="O13" s="95"/>
      <c r="P13" s="96"/>
      <c r="Q13" s="97"/>
      <c r="R13" s="97"/>
      <c r="S13" s="98"/>
      <c r="T13" s="99"/>
      <c r="U13" s="100" t="s">
        <v>180</v>
      </c>
      <c r="V13" s="101"/>
      <c r="W13" s="49"/>
      <c r="X13" s="49"/>
      <c r="Y13" s="49"/>
      <c r="Z13" s="50"/>
      <c r="AC13" s="102"/>
      <c r="AD13" s="102"/>
      <c r="AE13" s="102"/>
      <c r="AF13" s="102"/>
      <c r="AG13" s="103"/>
    </row>
    <row r="14" ht="39.9" customHeight="1" spans="1:33">
      <c r="A14" s="70">
        <v>4</v>
      </c>
      <c r="B14" s="33" t="s">
        <v>39</v>
      </c>
      <c r="C14" s="104"/>
      <c r="D14" s="105"/>
      <c r="E14" s="105"/>
      <c r="F14" s="106"/>
      <c r="G14" s="34"/>
      <c r="H14" s="37"/>
      <c r="I14" s="37"/>
      <c r="J14" s="38"/>
      <c r="K14" s="107"/>
      <c r="L14" s="40"/>
      <c r="M14" s="41"/>
      <c r="N14" s="108"/>
      <c r="O14" s="109"/>
      <c r="P14" s="43"/>
      <c r="Q14" s="44"/>
      <c r="R14" s="110" t="s">
        <v>182</v>
      </c>
      <c r="S14" s="111"/>
      <c r="T14" s="112" t="s">
        <v>183</v>
      </c>
      <c r="U14" s="113"/>
      <c r="V14" s="48"/>
      <c r="W14" s="49"/>
      <c r="X14" s="49"/>
      <c r="Y14" s="49"/>
      <c r="Z14" s="50"/>
      <c r="AC14" s="102"/>
      <c r="AD14" s="102"/>
      <c r="AE14" s="102"/>
      <c r="AF14" s="102"/>
      <c r="AG14" s="114"/>
    </row>
    <row r="15" ht="39.9" customHeight="1" spans="1:33">
      <c r="A15" s="53"/>
      <c r="B15" s="54" t="s">
        <v>45</v>
      </c>
      <c r="C15" s="115"/>
      <c r="D15" s="59"/>
      <c r="E15" s="59"/>
      <c r="F15" s="116"/>
      <c r="G15" s="117"/>
      <c r="H15" s="118"/>
      <c r="I15" s="119"/>
      <c r="J15" s="120"/>
      <c r="K15" s="121"/>
      <c r="L15" s="118"/>
      <c r="M15" s="122"/>
      <c r="N15" s="123"/>
      <c r="O15" s="124"/>
      <c r="P15" s="125"/>
      <c r="Q15" s="126"/>
      <c r="R15" s="126"/>
      <c r="S15" s="127" t="s">
        <v>184</v>
      </c>
      <c r="T15" s="128"/>
      <c r="U15" s="129"/>
      <c r="V15" s="101"/>
      <c r="W15" s="49"/>
      <c r="X15" s="49"/>
      <c r="Y15" s="49"/>
      <c r="Z15" s="50"/>
    </row>
    <row r="16" ht="39.9" customHeight="1" spans="1:33">
      <c r="A16" s="70">
        <v>5</v>
      </c>
      <c r="B16" s="33" t="s">
        <v>39</v>
      </c>
      <c r="C16" s="130"/>
      <c r="D16" s="72"/>
      <c r="E16" s="72"/>
      <c r="F16" s="73"/>
      <c r="G16" s="131" t="s">
        <v>53</v>
      </c>
      <c r="H16" s="72"/>
      <c r="I16" s="132"/>
      <c r="J16" s="77" t="s">
        <v>145</v>
      </c>
      <c r="K16" s="133" t="s">
        <v>54</v>
      </c>
      <c r="L16" s="134" t="s">
        <v>53</v>
      </c>
      <c r="M16" s="135"/>
      <c r="N16" s="135"/>
      <c r="O16" s="136"/>
      <c r="P16" s="137" t="s">
        <v>185</v>
      </c>
      <c r="Q16" s="135"/>
      <c r="R16" s="138"/>
      <c r="S16" s="136"/>
      <c r="T16" s="139"/>
      <c r="U16" s="140" t="s">
        <v>208</v>
      </c>
      <c r="V16" s="141" t="s">
        <v>187</v>
      </c>
      <c r="W16" s="49"/>
      <c r="X16" s="49"/>
      <c r="Y16" s="49"/>
      <c r="Z16" s="50"/>
    </row>
    <row r="17" ht="36.75" customHeight="1" spans="1:31">
      <c r="A17" s="53"/>
      <c r="B17" s="54" t="s">
        <v>45</v>
      </c>
      <c r="C17" s="85"/>
      <c r="D17" s="86"/>
      <c r="E17" s="86"/>
      <c r="F17" s="87"/>
      <c r="G17" s="142"/>
      <c r="H17" s="143"/>
      <c r="I17" s="89"/>
      <c r="J17" s="144"/>
      <c r="K17" s="145"/>
      <c r="L17" s="146"/>
      <c r="M17" s="146"/>
      <c r="N17" s="147"/>
      <c r="O17" s="148"/>
      <c r="P17" s="149"/>
      <c r="Q17" s="150"/>
      <c r="R17" s="151"/>
      <c r="S17" s="152"/>
      <c r="T17" s="153"/>
      <c r="U17" s="154"/>
      <c r="V17" s="155"/>
      <c r="W17" s="49"/>
      <c r="X17" s="49"/>
      <c r="Y17" s="49"/>
      <c r="Z17" s="50"/>
      <c r="AE17" s="156"/>
    </row>
    <row r="18" ht="42" customHeight="1" spans="1:31">
      <c r="A18" s="70">
        <v>6</v>
      </c>
      <c r="B18" s="33" t="s">
        <v>39</v>
      </c>
      <c r="C18" s="104"/>
      <c r="D18" s="105"/>
      <c r="E18" s="105"/>
      <c r="F18" s="106"/>
      <c r="G18" s="104"/>
      <c r="H18" s="157" t="s">
        <v>188</v>
      </c>
      <c r="I18" s="158" t="s">
        <v>189</v>
      </c>
      <c r="J18" s="159" t="s">
        <v>190</v>
      </c>
      <c r="K18" s="160" t="s">
        <v>61</v>
      </c>
      <c r="L18" s="40"/>
      <c r="M18" s="132"/>
      <c r="N18" s="161"/>
      <c r="O18" s="162"/>
      <c r="P18" s="43"/>
      <c r="Q18" s="163" t="s">
        <v>191</v>
      </c>
      <c r="R18" s="164"/>
      <c r="S18" s="165"/>
      <c r="T18" s="166"/>
      <c r="U18" s="167"/>
      <c r="V18" s="83"/>
      <c r="W18" s="49"/>
      <c r="X18" s="49"/>
      <c r="Y18" s="49"/>
      <c r="Z18" s="50"/>
    </row>
    <row r="19" ht="38.25" customHeight="1" spans="1:31">
      <c r="A19" s="27"/>
      <c r="B19" s="168" t="s">
        <v>45</v>
      </c>
      <c r="C19" s="169"/>
      <c r="D19" s="170"/>
      <c r="E19" s="171"/>
      <c r="F19" s="172"/>
      <c r="G19" s="169"/>
      <c r="H19" s="170"/>
      <c r="I19" s="171"/>
      <c r="J19" s="173"/>
      <c r="K19" s="174"/>
      <c r="L19" s="175"/>
      <c r="M19" s="176"/>
      <c r="N19" s="177"/>
      <c r="O19" s="178"/>
      <c r="P19" s="179"/>
      <c r="Q19" s="180"/>
      <c r="R19" s="181"/>
      <c r="S19" s="182"/>
      <c r="T19" s="183"/>
      <c r="U19" s="184"/>
      <c r="V19" s="185"/>
      <c r="W19" s="186"/>
      <c r="X19" s="186"/>
      <c r="Y19" s="186"/>
      <c r="Z19" s="187"/>
    </row>
    <row r="20" ht="23.25" hidden="1" customHeight="1" spans="1:31">
      <c r="A20" s="188"/>
      <c r="B20" s="189"/>
      <c r="C20" s="190"/>
      <c r="D20" s="190"/>
      <c r="E20" s="190"/>
      <c r="F20" s="190"/>
      <c r="G20" s="190"/>
      <c r="H20" s="190"/>
      <c r="I20" s="191"/>
      <c r="J20" s="192"/>
      <c r="K20" s="190"/>
      <c r="L20" s="190"/>
      <c r="M20" s="190"/>
      <c r="N20" s="190"/>
      <c r="O20" s="190"/>
      <c r="P20" s="190"/>
      <c r="Q20" s="192"/>
      <c r="R20" s="190"/>
      <c r="S20" s="190"/>
      <c r="T20" s="190"/>
      <c r="U20" s="190"/>
      <c r="V20" s="190"/>
      <c r="W20" s="192"/>
      <c r="X20" s="190"/>
      <c r="Y20" s="190"/>
      <c r="Z20" s="193"/>
    </row>
    <row r="21" ht="18.75" spans="1:31">
      <c r="A21" s="194"/>
      <c r="B21" s="195"/>
      <c r="C21" s="195"/>
      <c r="D21" s="196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7"/>
    </row>
    <row r="22" s="1" customFormat="1" ht="29.25" customHeight="1" spans="1:31">
      <c r="A22" s="198" t="s">
        <v>65</v>
      </c>
      <c r="B22" s="199"/>
      <c r="C22" s="200" t="s">
        <v>66</v>
      </c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1"/>
      <c r="AA22" s="202"/>
      <c r="AB22" s="203"/>
      <c r="AC22" s="204"/>
      <c r="AD22" s="156"/>
      <c r="AE22" s="156"/>
    </row>
    <row r="23" s="1" customFormat="1" ht="13.5" customHeight="1" spans="1:31">
      <c r="A23" s="205"/>
      <c r="B23" s="206"/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8"/>
      <c r="T23" s="209"/>
      <c r="U23" s="207"/>
      <c r="V23" s="207"/>
      <c r="W23" s="208"/>
      <c r="X23" s="207"/>
      <c r="Y23" s="209"/>
      <c r="Z23" s="210"/>
      <c r="AA23" s="207"/>
      <c r="AB23" s="203"/>
      <c r="AC23" s="204"/>
      <c r="AD23" s="156"/>
      <c r="AE23" s="156"/>
    </row>
    <row r="24" customFormat="1" ht="25.5" customHeight="1" spans="1:31">
      <c r="A24" s="211" t="s">
        <v>67</v>
      </c>
      <c r="B24" s="212" t="s">
        <v>68</v>
      </c>
      <c r="C24" s="213"/>
      <c r="D24" s="214"/>
      <c r="E24" s="215" t="s">
        <v>69</v>
      </c>
      <c r="F24" s="216" t="s">
        <v>70</v>
      </c>
      <c r="G24" s="217" t="s">
        <v>71</v>
      </c>
      <c r="H24" s="217"/>
      <c r="I24" s="217"/>
      <c r="J24" s="217"/>
      <c r="K24" s="218" t="s">
        <v>72</v>
      </c>
      <c r="L24" s="219"/>
      <c r="M24" s="220" t="s">
        <v>73</v>
      </c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2"/>
      <c r="Z24" s="223"/>
      <c r="AA24" s="196"/>
      <c r="AB24" s="2"/>
      <c r="AC24" s="2"/>
      <c r="AD24" s="156"/>
      <c r="AE24" s="2"/>
    </row>
    <row r="25" customFormat="1" ht="25.5" customHeight="1" spans="1:31">
      <c r="A25" s="224"/>
      <c r="B25" s="225"/>
      <c r="C25" s="226"/>
      <c r="D25" s="227"/>
      <c r="E25" s="228"/>
      <c r="F25" s="229"/>
      <c r="G25" s="230" t="s">
        <v>55</v>
      </c>
      <c r="H25" s="230" t="s">
        <v>43</v>
      </c>
      <c r="I25" s="230" t="s">
        <v>74</v>
      </c>
      <c r="J25" s="229" t="s">
        <v>75</v>
      </c>
      <c r="K25" s="218"/>
      <c r="L25" s="231"/>
      <c r="M25" s="232"/>
      <c r="N25" s="233" t="s">
        <v>76</v>
      </c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34"/>
      <c r="AA25" s="196"/>
      <c r="AB25" s="2"/>
      <c r="AC25" s="2"/>
      <c r="AD25" s="2"/>
      <c r="AE25" s="2"/>
    </row>
    <row r="26" customFormat="1" ht="23.1" customHeight="1" spans="1:31">
      <c r="A26" s="235" t="s">
        <v>156</v>
      </c>
      <c r="B26" s="236" t="s">
        <v>157</v>
      </c>
      <c r="C26" s="237"/>
      <c r="D26" s="238"/>
      <c r="E26" s="239" t="s">
        <v>79</v>
      </c>
      <c r="F26" s="239">
        <v>4</v>
      </c>
      <c r="G26" s="239">
        <v>42</v>
      </c>
      <c r="H26" s="239">
        <v>72</v>
      </c>
      <c r="I26" s="239">
        <v>6</v>
      </c>
      <c r="J26" s="240">
        <f t="shared" ref="J26:J36" si="0">SUM(G26:I26)</f>
        <v>120</v>
      </c>
      <c r="K26" s="241"/>
      <c r="L26" s="242"/>
      <c r="M26" s="243"/>
      <c r="N26" s="244"/>
      <c r="O26" s="245"/>
      <c r="P26" s="246"/>
      <c r="Q26" s="232"/>
      <c r="R26" s="246"/>
      <c r="S26" s="246"/>
      <c r="T26" s="195"/>
      <c r="U26" s="195"/>
      <c r="V26" s="195"/>
      <c r="W26" s="195"/>
      <c r="X26" s="195"/>
      <c r="Y26" s="195"/>
      <c r="Z26" s="197"/>
      <c r="AA26" s="247"/>
      <c r="AB26" s="2"/>
      <c r="AC26" s="2"/>
      <c r="AD26" s="2"/>
      <c r="AE26" s="2"/>
    </row>
    <row r="27" customFormat="1" ht="23.1" customHeight="1" spans="1:31">
      <c r="A27" s="235" t="s">
        <v>80</v>
      </c>
      <c r="B27" s="236" t="s">
        <v>192</v>
      </c>
      <c r="C27" s="237"/>
      <c r="D27" s="238"/>
      <c r="E27" s="239" t="s">
        <v>79</v>
      </c>
      <c r="F27" s="239">
        <v>2</v>
      </c>
      <c r="G27" s="239">
        <v>22</v>
      </c>
      <c r="H27" s="239">
        <v>32</v>
      </c>
      <c r="I27" s="239">
        <v>6</v>
      </c>
      <c r="J27" s="240">
        <f t="shared" si="0"/>
        <v>60</v>
      </c>
      <c r="K27" s="248"/>
      <c r="L27" s="242"/>
      <c r="M27" s="243"/>
      <c r="N27" s="244"/>
      <c r="O27" s="245"/>
      <c r="P27" s="246"/>
      <c r="Q27" s="232"/>
      <c r="R27" s="246"/>
      <c r="S27" s="246"/>
      <c r="T27" s="195"/>
      <c r="U27" s="195"/>
      <c r="V27" s="195"/>
      <c r="W27" s="195"/>
      <c r="X27" s="249" t="s">
        <v>83</v>
      </c>
      <c r="Y27" s="195"/>
      <c r="Z27" s="197"/>
      <c r="AA27" s="247"/>
      <c r="AB27" s="2"/>
      <c r="AC27" s="2"/>
      <c r="AD27" s="2"/>
      <c r="AE27" s="2"/>
    </row>
    <row r="28" customFormat="1" ht="23.1" customHeight="1" spans="1:31">
      <c r="A28" s="250" t="s">
        <v>193</v>
      </c>
      <c r="B28" s="251" t="s">
        <v>194</v>
      </c>
      <c r="C28" s="252"/>
      <c r="D28" s="253"/>
      <c r="E28" s="254" t="s">
        <v>195</v>
      </c>
      <c r="F28" s="254">
        <v>3</v>
      </c>
      <c r="G28" s="254">
        <v>22</v>
      </c>
      <c r="H28" s="254">
        <v>45</v>
      </c>
      <c r="I28" s="254">
        <v>5</v>
      </c>
      <c r="J28" s="255">
        <f t="shared" si="0"/>
        <v>72</v>
      </c>
      <c r="K28" s="256"/>
      <c r="L28" s="257" t="s">
        <v>87</v>
      </c>
      <c r="M28" s="258"/>
      <c r="N28" s="258"/>
      <c r="O28" s="258"/>
      <c r="P28" s="258"/>
      <c r="Q28" s="259"/>
      <c r="R28" s="246"/>
      <c r="S28" s="258" t="s">
        <v>88</v>
      </c>
      <c r="T28" s="196"/>
      <c r="U28" s="195"/>
      <c r="V28" s="195"/>
      <c r="W28" s="195"/>
      <c r="X28" s="232" t="s">
        <v>89</v>
      </c>
      <c r="Y28" s="195"/>
      <c r="Z28" s="197"/>
      <c r="AA28" s="247"/>
      <c r="AB28" s="2"/>
      <c r="AC28" s="2"/>
      <c r="AD28" s="2"/>
      <c r="AE28" s="2"/>
    </row>
    <row r="29" customFormat="1" ht="23.1" customHeight="1" spans="1:31">
      <c r="A29" s="250" t="s">
        <v>196</v>
      </c>
      <c r="B29" s="251" t="s">
        <v>197</v>
      </c>
      <c r="C29" s="252"/>
      <c r="D29" s="253"/>
      <c r="E29" s="254" t="s">
        <v>195</v>
      </c>
      <c r="F29" s="254">
        <v>3</v>
      </c>
      <c r="G29" s="254">
        <v>22</v>
      </c>
      <c r="H29" s="254">
        <v>45</v>
      </c>
      <c r="I29" s="254">
        <v>5</v>
      </c>
      <c r="J29" s="255">
        <f t="shared" si="0"/>
        <v>72</v>
      </c>
      <c r="K29" s="256"/>
      <c r="L29" s="242"/>
      <c r="M29" s="195"/>
      <c r="N29" s="258"/>
      <c r="O29" s="196"/>
      <c r="P29" s="246"/>
      <c r="Q29" s="232"/>
      <c r="R29" s="246"/>
      <c r="S29" s="258" t="s">
        <v>93</v>
      </c>
      <c r="T29" s="196"/>
      <c r="U29" s="195"/>
      <c r="V29" s="195"/>
      <c r="W29" s="195"/>
      <c r="X29" s="232" t="s">
        <v>94</v>
      </c>
      <c r="Y29" s="195"/>
      <c r="Z29" s="197"/>
      <c r="AA29" s="247"/>
      <c r="AB29" s="2"/>
      <c r="AC29" s="2"/>
      <c r="AD29" s="2"/>
      <c r="AE29" s="2"/>
    </row>
    <row r="30" customFormat="1" ht="23.1" customHeight="1" spans="1:31">
      <c r="A30" s="260" t="s">
        <v>165</v>
      </c>
      <c r="B30" s="261" t="s">
        <v>198</v>
      </c>
      <c r="C30" s="262"/>
      <c r="D30" s="263"/>
      <c r="E30" s="264" t="s">
        <v>86</v>
      </c>
      <c r="F30" s="264">
        <v>5</v>
      </c>
      <c r="G30" s="264">
        <v>41</v>
      </c>
      <c r="H30" s="265">
        <v>29</v>
      </c>
      <c r="I30" s="265">
        <v>5</v>
      </c>
      <c r="J30" s="266">
        <f t="shared" si="0"/>
        <v>75</v>
      </c>
      <c r="K30" s="267"/>
      <c r="L30" s="242"/>
      <c r="M30" s="195"/>
      <c r="N30" s="268"/>
      <c r="O30" s="196"/>
      <c r="P30" s="246"/>
      <c r="Q30" s="232"/>
      <c r="R30" s="246"/>
      <c r="S30" s="232"/>
      <c r="T30" s="196"/>
      <c r="U30" s="195"/>
      <c r="V30" s="195"/>
      <c r="W30" s="195"/>
      <c r="X30" s="196"/>
      <c r="Y30" s="195"/>
      <c r="Z30" s="197"/>
      <c r="AA30" s="247"/>
      <c r="AB30" s="2"/>
      <c r="AC30" s="2"/>
      <c r="AD30" s="2"/>
      <c r="AE30" s="2"/>
    </row>
    <row r="31" customFormat="1" ht="23.1" customHeight="1" spans="1:31">
      <c r="A31" s="269" t="s">
        <v>84</v>
      </c>
      <c r="B31" s="270" t="s">
        <v>85</v>
      </c>
      <c r="C31" s="271"/>
      <c r="D31" s="272"/>
      <c r="E31" s="273" t="s">
        <v>86</v>
      </c>
      <c r="F31" s="274">
        <v>2</v>
      </c>
      <c r="G31" s="274">
        <v>18</v>
      </c>
      <c r="H31" s="273">
        <v>10</v>
      </c>
      <c r="I31" s="274">
        <v>2</v>
      </c>
      <c r="J31" s="275">
        <f t="shared" si="0"/>
        <v>30</v>
      </c>
      <c r="K31" s="276"/>
      <c r="L31" s="242"/>
      <c r="M31" s="195"/>
      <c r="N31" s="195"/>
      <c r="O31" s="195"/>
      <c r="P31" s="195"/>
      <c r="Q31" s="195"/>
      <c r="R31" s="195"/>
      <c r="S31" s="277"/>
      <c r="T31" s="196"/>
      <c r="U31" s="195"/>
      <c r="V31" s="195"/>
      <c r="W31" s="195"/>
      <c r="X31" s="268"/>
      <c r="Y31" s="195"/>
      <c r="Z31" s="197"/>
      <c r="AA31" s="247"/>
      <c r="AB31" s="2"/>
      <c r="AC31" s="2"/>
      <c r="AD31" s="2"/>
      <c r="AE31" s="2"/>
    </row>
    <row r="32" customFormat="1" ht="23.1" customHeight="1" spans="1:31">
      <c r="A32" s="278" t="s">
        <v>97</v>
      </c>
      <c r="B32" s="279" t="s">
        <v>98</v>
      </c>
      <c r="C32" s="280"/>
      <c r="D32" s="281"/>
      <c r="E32" s="282" t="s">
        <v>82</v>
      </c>
      <c r="F32" s="282">
        <v>2</v>
      </c>
      <c r="G32" s="282">
        <v>30</v>
      </c>
      <c r="H32" s="282">
        <v>15</v>
      </c>
      <c r="I32" s="282">
        <v>3</v>
      </c>
      <c r="J32" s="283">
        <f t="shared" si="0"/>
        <v>48</v>
      </c>
      <c r="K32" s="284"/>
      <c r="L32" s="242"/>
      <c r="M32" s="195"/>
      <c r="N32" s="195"/>
      <c r="O32" s="196"/>
      <c r="P32" s="195"/>
      <c r="Q32" s="268"/>
      <c r="R32" s="258"/>
      <c r="S32" s="195"/>
      <c r="T32" s="196"/>
      <c r="U32" s="258"/>
      <c r="V32" s="258"/>
      <c r="W32" s="268"/>
      <c r="X32" s="196"/>
      <c r="Y32" s="249"/>
      <c r="Z32" s="197"/>
      <c r="AA32" s="249"/>
      <c r="AB32" s="2"/>
      <c r="AC32" s="2"/>
      <c r="AD32" s="2"/>
      <c r="AE32" s="2"/>
    </row>
    <row r="33" customFormat="1" ht="23.1" customHeight="1" spans="1:31">
      <c r="A33" s="285" t="s">
        <v>199</v>
      </c>
      <c r="B33" s="286" t="s">
        <v>81</v>
      </c>
      <c r="C33" s="287"/>
      <c r="D33" s="288"/>
      <c r="E33" s="289" t="s">
        <v>82</v>
      </c>
      <c r="F33" s="289">
        <v>2</v>
      </c>
      <c r="G33" s="289">
        <v>30</v>
      </c>
      <c r="H33" s="289">
        <v>0</v>
      </c>
      <c r="I33" s="289">
        <v>3</v>
      </c>
      <c r="J33" s="290">
        <f t="shared" si="0"/>
        <v>33</v>
      </c>
      <c r="K33" s="291"/>
      <c r="L33" s="242"/>
      <c r="M33" s="268"/>
      <c r="N33" s="195"/>
      <c r="O33" s="258"/>
      <c r="P33" s="258"/>
      <c r="Q33" s="268"/>
      <c r="R33" s="232"/>
      <c r="S33" s="195"/>
      <c r="T33" s="196"/>
      <c r="U33" s="232"/>
      <c r="V33" s="232"/>
      <c r="W33" s="268"/>
      <c r="X33" s="196"/>
      <c r="Y33" s="232"/>
      <c r="Z33" s="197"/>
      <c r="AA33" s="232"/>
      <c r="AB33" s="2"/>
      <c r="AC33" s="2"/>
      <c r="AD33" s="2"/>
      <c r="AE33" s="2"/>
    </row>
    <row r="34" customFormat="1" ht="23.1" customHeight="1" spans="1:31">
      <c r="A34" s="260" t="s">
        <v>101</v>
      </c>
      <c r="B34" s="261" t="s">
        <v>102</v>
      </c>
      <c r="C34" s="262"/>
      <c r="D34" s="263"/>
      <c r="E34" s="264" t="s">
        <v>86</v>
      </c>
      <c r="F34" s="264">
        <v>1</v>
      </c>
      <c r="G34" s="264">
        <v>15</v>
      </c>
      <c r="H34" s="264">
        <v>4</v>
      </c>
      <c r="I34" s="264">
        <v>3</v>
      </c>
      <c r="J34" s="292">
        <f t="shared" si="0"/>
        <v>22</v>
      </c>
      <c r="K34" s="293"/>
      <c r="L34" s="242"/>
      <c r="M34" s="195"/>
      <c r="N34" s="195"/>
      <c r="O34" s="196"/>
      <c r="P34" s="195"/>
      <c r="Q34" s="195"/>
      <c r="R34" s="195"/>
      <c r="S34" s="196"/>
      <c r="T34" s="196"/>
      <c r="U34" s="277"/>
      <c r="V34" s="277"/>
      <c r="W34" s="268"/>
      <c r="X34" s="196"/>
      <c r="Y34" s="232"/>
      <c r="Z34" s="197"/>
      <c r="AA34" s="232"/>
      <c r="AB34" s="2"/>
      <c r="AC34" s="2"/>
      <c r="AD34" s="2"/>
      <c r="AE34" s="2"/>
    </row>
    <row r="35" customFormat="1" ht="23.1" customHeight="1" spans="1:31">
      <c r="A35" s="269" t="s">
        <v>103</v>
      </c>
      <c r="B35" s="270" t="s">
        <v>104</v>
      </c>
      <c r="C35" s="271"/>
      <c r="D35" s="272"/>
      <c r="E35" s="273" t="s">
        <v>82</v>
      </c>
      <c r="F35" s="274">
        <v>2</v>
      </c>
      <c r="G35" s="274">
        <v>30</v>
      </c>
      <c r="H35" s="294">
        <v>15</v>
      </c>
      <c r="I35" s="274">
        <v>10</v>
      </c>
      <c r="J35" s="273">
        <f t="shared" si="0"/>
        <v>55</v>
      </c>
      <c r="K35" s="276"/>
      <c r="L35" s="257" t="s">
        <v>105</v>
      </c>
      <c r="M35" s="258"/>
      <c r="N35" s="258"/>
      <c r="O35" s="258"/>
      <c r="P35" s="258"/>
      <c r="Q35" s="259"/>
      <c r="R35" s="195"/>
      <c r="S35" s="258" t="s">
        <v>106</v>
      </c>
      <c r="T35" s="196"/>
      <c r="U35" s="195"/>
      <c r="V35" s="195"/>
      <c r="W35" s="195"/>
      <c r="X35" s="258" t="s">
        <v>107</v>
      </c>
      <c r="Y35" s="195"/>
      <c r="Z35" s="197"/>
      <c r="AA35" s="196"/>
      <c r="AB35" s="2"/>
      <c r="AC35" s="2"/>
      <c r="AD35" s="2"/>
      <c r="AE35" s="2"/>
    </row>
    <row r="36" customFormat="1" ht="23.1" customHeight="1" spans="1:31">
      <c r="A36" s="295" t="s">
        <v>110</v>
      </c>
      <c r="B36" s="296" t="s">
        <v>200</v>
      </c>
      <c r="C36" s="297"/>
      <c r="D36" s="298"/>
      <c r="E36" s="299" t="s">
        <v>79</v>
      </c>
      <c r="F36" s="300">
        <v>1</v>
      </c>
      <c r="G36" s="300">
        <v>10</v>
      </c>
      <c r="H36" s="301">
        <v>16</v>
      </c>
      <c r="I36" s="300">
        <v>1</v>
      </c>
      <c r="J36" s="302">
        <f t="shared" si="0"/>
        <v>27</v>
      </c>
      <c r="K36" s="303"/>
      <c r="L36" s="242"/>
      <c r="M36" s="195"/>
      <c r="N36" s="258"/>
      <c r="O36" s="196"/>
      <c r="P36" s="195"/>
      <c r="Q36" s="195"/>
      <c r="R36" s="195"/>
      <c r="S36" s="196"/>
      <c r="T36" s="258"/>
      <c r="U36" s="195"/>
      <c r="V36" s="195"/>
      <c r="W36" s="195"/>
      <c r="X36" s="195"/>
      <c r="Y36" s="195"/>
      <c r="Z36" s="304"/>
      <c r="AA36" s="196"/>
      <c r="AB36" s="2"/>
      <c r="AC36" s="2"/>
      <c r="AD36" s="2"/>
      <c r="AE36" s="2"/>
    </row>
    <row r="37" customFormat="1" ht="23.1" customHeight="1" spans="1:31">
      <c r="A37" s="305" t="s">
        <v>112</v>
      </c>
      <c r="B37" s="306"/>
      <c r="C37" s="306"/>
      <c r="D37" s="306"/>
      <c r="E37" s="307"/>
      <c r="F37" s="308">
        <f>SUM(F26:F35)</f>
        <v>26</v>
      </c>
      <c r="G37" s="308">
        <f>SUM(G26:G35)</f>
        <v>272</v>
      </c>
      <c r="H37" s="308">
        <f>SUM(H26:H35)</f>
        <v>267</v>
      </c>
      <c r="I37" s="308">
        <f>SUM(I26:I35)</f>
        <v>48</v>
      </c>
      <c r="J37" s="308">
        <f>SUM(J26:J35)</f>
        <v>587</v>
      </c>
      <c r="K37" s="309"/>
      <c r="L37" s="192"/>
      <c r="M37" s="190"/>
      <c r="N37" s="310"/>
      <c r="O37" s="189"/>
      <c r="P37" s="190"/>
      <c r="Q37" s="190"/>
      <c r="R37" s="190"/>
      <c r="S37" s="190"/>
      <c r="T37" s="310"/>
      <c r="U37" s="190"/>
      <c r="V37" s="190"/>
      <c r="W37" s="190"/>
      <c r="X37" s="190"/>
      <c r="Y37" s="190"/>
      <c r="Z37" s="311"/>
      <c r="AA37" s="196"/>
      <c r="AB37" s="2"/>
      <c r="AC37" s="2"/>
      <c r="AD37" s="2"/>
      <c r="AE37" s="2"/>
    </row>
    <row r="38" customFormat="1" ht="22.5" spans="1:31">
      <c r="A38" s="196"/>
      <c r="B38" s="196"/>
      <c r="C38" s="196"/>
      <c r="D38" s="196"/>
      <c r="E38" s="196"/>
      <c r="F38" s="196"/>
      <c r="G38" s="196"/>
      <c r="H38" s="196"/>
      <c r="I38" s="195"/>
      <c r="J38" s="246"/>
      <c r="K38" s="196"/>
      <c r="L38" s="195"/>
      <c r="M38" s="195"/>
      <c r="O38" s="196"/>
      <c r="P38" s="195"/>
      <c r="Q38" s="195"/>
      <c r="R38" s="195"/>
      <c r="S38" s="195"/>
      <c r="U38" s="196"/>
      <c r="V38" s="196"/>
      <c r="W38" s="196"/>
      <c r="X38" s="196"/>
      <c r="Y38" s="196"/>
      <c r="AA38" s="196"/>
      <c r="AB38" s="2"/>
      <c r="AC38" s="2"/>
      <c r="AD38" s="2"/>
      <c r="AE38" s="2"/>
    </row>
    <row r="39" ht="18.75" spans="1:31">
      <c r="A39" s="312"/>
      <c r="B39" s="312"/>
      <c r="C39" s="312"/>
      <c r="D39" s="312"/>
      <c r="E39" s="312"/>
      <c r="F39" s="312"/>
      <c r="G39" s="312"/>
      <c r="H39" s="312"/>
      <c r="I39" s="312"/>
      <c r="J39" s="312"/>
      <c r="K39" s="312"/>
      <c r="L39" s="312"/>
      <c r="M39" s="312"/>
      <c r="N39" s="312"/>
      <c r="O39" s="312"/>
      <c r="P39" s="312"/>
      <c r="Q39" s="312"/>
      <c r="R39" s="312"/>
      <c r="S39" s="312"/>
      <c r="T39" s="312"/>
      <c r="U39" s="312"/>
      <c r="V39" s="312"/>
      <c r="W39" s="312"/>
      <c r="X39" s="312"/>
      <c r="Y39" s="312"/>
    </row>
    <row r="40" ht="18.75" spans="1:31">
      <c r="A40" s="312"/>
      <c r="B40" s="312"/>
      <c r="C40" s="312"/>
      <c r="D40" s="312"/>
      <c r="E40" s="312"/>
      <c r="F40" s="312"/>
      <c r="G40" s="312"/>
      <c r="H40" s="312"/>
      <c r="I40" s="312"/>
      <c r="J40" s="312"/>
      <c r="K40" s="312"/>
      <c r="L40" s="312"/>
      <c r="M40" s="312"/>
      <c r="N40" s="312"/>
      <c r="O40" s="312"/>
      <c r="P40" s="312"/>
      <c r="Q40" s="312"/>
      <c r="R40" s="312"/>
      <c r="S40" s="312"/>
      <c r="T40" s="312"/>
      <c r="U40" s="312"/>
      <c r="V40" s="312"/>
      <c r="W40" s="312"/>
      <c r="X40" s="312"/>
      <c r="Y40" s="312"/>
    </row>
    <row r="41" ht="18.75" spans="1:31">
      <c r="A41" s="312"/>
      <c r="B41" s="312"/>
      <c r="C41" s="312"/>
      <c r="D41" s="312"/>
      <c r="E41" s="312"/>
      <c r="F41" s="312"/>
      <c r="G41" s="312"/>
      <c r="H41" s="312"/>
      <c r="I41" s="312"/>
      <c r="J41" s="312"/>
      <c r="K41" s="312"/>
      <c r="L41" s="312"/>
      <c r="M41" s="312"/>
      <c r="N41" s="312"/>
      <c r="O41" s="312"/>
      <c r="P41" s="312"/>
      <c r="Q41" s="312"/>
      <c r="R41" s="312"/>
      <c r="S41" s="312"/>
      <c r="T41" s="312"/>
      <c r="U41" s="312"/>
      <c r="V41" s="312"/>
      <c r="W41" s="312"/>
      <c r="X41" s="312"/>
      <c r="Y41" s="312"/>
    </row>
    <row r="42" ht="18.75" spans="1:31">
      <c r="A42" s="312"/>
      <c r="B42" s="312"/>
      <c r="C42" s="312"/>
      <c r="D42" s="312"/>
      <c r="E42" s="312"/>
      <c r="F42" s="312"/>
      <c r="G42" s="312"/>
      <c r="H42" s="312"/>
      <c r="I42" s="312"/>
      <c r="J42" s="312"/>
      <c r="K42" s="312"/>
      <c r="L42" s="312"/>
      <c r="M42" s="312"/>
      <c r="N42" s="312"/>
      <c r="O42" s="312"/>
      <c r="P42" s="312"/>
      <c r="Q42" s="312"/>
      <c r="R42" s="312"/>
      <c r="S42" s="312"/>
      <c r="T42" s="312"/>
      <c r="U42" s="312"/>
      <c r="V42" s="312"/>
      <c r="W42" s="312"/>
      <c r="X42" s="312"/>
      <c r="Y42" s="312"/>
    </row>
    <row r="43" ht="18.75" spans="1:31">
      <c r="A43" s="312"/>
      <c r="B43" s="312"/>
      <c r="C43" s="312"/>
      <c r="D43" s="312"/>
      <c r="E43" s="312"/>
      <c r="F43" s="312"/>
      <c r="G43" s="312"/>
      <c r="H43" s="312"/>
      <c r="I43" s="312"/>
      <c r="J43" s="312"/>
      <c r="K43" s="312"/>
      <c r="L43" s="312"/>
      <c r="M43" s="312"/>
      <c r="N43" s="312"/>
      <c r="O43" s="312"/>
      <c r="P43" s="312"/>
      <c r="Q43" s="312"/>
      <c r="R43" s="312"/>
      <c r="S43" s="312"/>
      <c r="T43" s="312"/>
      <c r="U43" s="312"/>
      <c r="V43" s="312"/>
      <c r="W43" s="312"/>
      <c r="X43" s="312"/>
      <c r="Y43" s="312"/>
    </row>
    <row r="44" ht="18.75" spans="1:31">
      <c r="A44" s="312"/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M44" s="312"/>
      <c r="N44" s="312"/>
      <c r="O44" s="312"/>
      <c r="P44" s="312"/>
      <c r="Q44" s="312"/>
      <c r="R44" s="312"/>
      <c r="S44" s="312"/>
      <c r="T44" s="312"/>
      <c r="U44" s="312"/>
      <c r="V44" s="312"/>
      <c r="W44" s="312"/>
      <c r="X44" s="312"/>
      <c r="Y44" s="312"/>
    </row>
    <row r="45" ht="18.75" spans="1:31">
      <c r="A45" s="312"/>
      <c r="B45" s="312"/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M45" s="312"/>
      <c r="N45" s="312"/>
      <c r="O45" s="312"/>
      <c r="P45" s="312"/>
      <c r="Q45" s="313"/>
      <c r="R45" s="312"/>
      <c r="S45" s="312"/>
      <c r="T45" s="312"/>
      <c r="U45" s="312"/>
      <c r="V45" s="312"/>
      <c r="W45" s="312"/>
      <c r="X45" s="312"/>
      <c r="Y45" s="312"/>
    </row>
    <row r="46" ht="18.75" spans="1:31">
      <c r="A46" s="312"/>
      <c r="B46" s="312"/>
      <c r="C46" s="312"/>
      <c r="D46" s="312"/>
      <c r="E46" s="312"/>
      <c r="F46" s="312"/>
      <c r="G46" s="312"/>
      <c r="H46" s="312"/>
      <c r="I46" s="312"/>
      <c r="J46" s="312"/>
      <c r="K46" s="312"/>
      <c r="L46" s="312"/>
      <c r="M46" s="312"/>
      <c r="N46" s="312"/>
      <c r="O46" s="312"/>
      <c r="P46" s="312"/>
      <c r="Q46" s="312"/>
      <c r="R46" s="312"/>
      <c r="S46" s="312"/>
      <c r="T46" s="312"/>
      <c r="U46" s="312"/>
      <c r="V46" s="312"/>
      <c r="W46" s="312"/>
      <c r="X46" s="312"/>
      <c r="Y46" s="312"/>
    </row>
    <row r="47" ht="18.75" spans="1:31">
      <c r="A47" s="312"/>
      <c r="B47" s="312"/>
      <c r="C47" s="312"/>
      <c r="D47" s="312"/>
      <c r="E47" s="312"/>
      <c r="F47" s="312"/>
      <c r="G47" s="312"/>
      <c r="H47" s="312"/>
      <c r="I47" s="312"/>
      <c r="J47" s="312"/>
      <c r="K47" s="312"/>
      <c r="L47" s="312"/>
      <c r="M47" s="312"/>
      <c r="N47" s="312"/>
      <c r="O47" s="312"/>
      <c r="P47" s="312"/>
      <c r="Q47" s="312"/>
      <c r="R47" s="312"/>
      <c r="S47" s="312"/>
      <c r="T47" s="312"/>
      <c r="U47" s="312"/>
      <c r="V47" s="312"/>
      <c r="W47" s="312"/>
      <c r="X47" s="312"/>
      <c r="Y47" s="312"/>
    </row>
    <row r="48" ht="18.75" spans="1:31">
      <c r="A48" s="312"/>
      <c r="B48" s="312"/>
      <c r="C48" s="312"/>
      <c r="D48" s="312"/>
      <c r="E48" s="312"/>
      <c r="F48" s="312"/>
      <c r="G48" s="312"/>
      <c r="H48" s="312"/>
      <c r="I48" s="312"/>
      <c r="J48" s="312"/>
      <c r="K48" s="312"/>
      <c r="L48" s="312"/>
      <c r="M48" s="312"/>
      <c r="N48" s="312"/>
      <c r="O48" s="312"/>
      <c r="P48" s="312"/>
      <c r="Q48" s="312"/>
      <c r="R48" s="312"/>
      <c r="S48" s="312"/>
      <c r="T48" s="312"/>
      <c r="U48" s="312"/>
      <c r="V48" s="312"/>
      <c r="W48" s="312"/>
      <c r="X48" s="312"/>
      <c r="Y48" s="312"/>
    </row>
    <row r="49" ht="18.75" spans="1:25">
      <c r="A49" s="312"/>
      <c r="B49" s="312"/>
      <c r="C49" s="312"/>
      <c r="D49" s="312"/>
      <c r="E49" s="312"/>
      <c r="F49" s="312"/>
      <c r="G49" s="312"/>
      <c r="H49" s="312"/>
      <c r="I49" s="312"/>
      <c r="J49" s="312"/>
      <c r="K49" s="312"/>
      <c r="L49" s="312"/>
      <c r="M49" s="312"/>
      <c r="N49" s="312"/>
      <c r="O49" s="312"/>
      <c r="P49" s="312"/>
      <c r="Q49" s="312"/>
      <c r="R49" s="312"/>
      <c r="S49" s="312"/>
      <c r="T49" s="312"/>
      <c r="U49" s="312"/>
      <c r="V49" s="312"/>
      <c r="W49" s="312"/>
      <c r="X49" s="312"/>
      <c r="Y49" s="312"/>
    </row>
    <row r="50" ht="18.75" spans="1:25">
      <c r="A50" s="312"/>
      <c r="B50" s="312"/>
      <c r="C50" s="312"/>
      <c r="D50" s="312"/>
      <c r="E50" s="312"/>
      <c r="F50" s="312"/>
      <c r="G50" s="312"/>
      <c r="H50" s="312"/>
      <c r="I50" s="312"/>
      <c r="J50" s="312"/>
      <c r="K50" s="312"/>
      <c r="L50" s="312"/>
      <c r="M50" s="312"/>
      <c r="N50" s="312"/>
      <c r="O50" s="312"/>
      <c r="P50" s="312"/>
      <c r="Q50" s="312"/>
      <c r="R50" s="312"/>
      <c r="S50" s="312"/>
      <c r="T50" s="312"/>
      <c r="U50" s="312"/>
      <c r="V50" s="312"/>
      <c r="W50" s="312"/>
      <c r="X50" s="312"/>
      <c r="Y50" s="312"/>
    </row>
    <row r="51" ht="18.75" spans="1:25">
      <c r="A51" s="312"/>
      <c r="B51" s="312"/>
      <c r="C51" s="312"/>
      <c r="D51" s="312"/>
      <c r="E51" s="312"/>
      <c r="F51" s="312"/>
      <c r="G51" s="312"/>
      <c r="H51" s="312"/>
      <c r="I51" s="312"/>
      <c r="J51" s="312"/>
      <c r="K51" s="312"/>
      <c r="L51" s="312"/>
      <c r="M51" s="312"/>
      <c r="N51" s="312"/>
      <c r="O51" s="312"/>
      <c r="P51" s="312"/>
      <c r="Q51" s="312"/>
      <c r="R51" s="312"/>
      <c r="S51" s="312"/>
      <c r="T51" s="312"/>
      <c r="U51" s="312"/>
      <c r="V51" s="312"/>
      <c r="W51" s="312"/>
      <c r="X51" s="312"/>
      <c r="Y51" s="312"/>
    </row>
    <row r="52" ht="18.75" spans="1:25">
      <c r="A52" s="312"/>
      <c r="B52" s="312"/>
      <c r="C52" s="312"/>
      <c r="D52" s="312"/>
      <c r="E52" s="312"/>
      <c r="F52" s="312"/>
      <c r="G52" s="312"/>
      <c r="H52" s="312"/>
      <c r="I52" s="312"/>
      <c r="J52" s="312"/>
      <c r="K52" s="312"/>
      <c r="L52" s="312"/>
      <c r="M52" s="312"/>
      <c r="N52" s="312"/>
      <c r="O52" s="312"/>
      <c r="P52" s="312"/>
      <c r="Q52" s="312"/>
      <c r="R52" s="312"/>
      <c r="S52" s="312"/>
      <c r="T52" s="312"/>
      <c r="U52" s="312"/>
      <c r="V52" s="312"/>
      <c r="W52" s="312"/>
      <c r="X52" s="312"/>
      <c r="Y52" s="312"/>
    </row>
    <row r="53" ht="18.75" spans="1:25">
      <c r="A53" s="312"/>
      <c r="B53" s="312"/>
      <c r="C53" s="312"/>
      <c r="D53" s="312"/>
      <c r="E53" s="312"/>
      <c r="F53" s="312"/>
      <c r="G53" s="312"/>
      <c r="H53" s="312"/>
      <c r="I53" s="312"/>
      <c r="J53" s="312"/>
      <c r="K53" s="312"/>
      <c r="L53" s="312"/>
      <c r="M53" s="312"/>
      <c r="N53" s="312"/>
      <c r="O53" s="312"/>
      <c r="P53" s="312"/>
      <c r="Q53" s="312"/>
      <c r="R53" s="312"/>
      <c r="S53" s="312"/>
      <c r="T53" s="312"/>
      <c r="U53" s="312"/>
      <c r="V53" s="312"/>
      <c r="W53" s="312"/>
      <c r="X53" s="312"/>
      <c r="Y53" s="312"/>
    </row>
    <row r="54" ht="18.75" spans="1:25">
      <c r="A54" s="312"/>
      <c r="B54" s="312"/>
      <c r="C54" s="312"/>
      <c r="D54" s="312"/>
      <c r="E54" s="312"/>
      <c r="F54" s="312"/>
      <c r="G54" s="312"/>
      <c r="H54" s="312"/>
      <c r="I54" s="312"/>
      <c r="J54" s="312"/>
      <c r="K54" s="312"/>
      <c r="L54" s="312"/>
      <c r="M54" s="312"/>
      <c r="N54" s="312"/>
      <c r="O54" s="312"/>
      <c r="P54" s="312"/>
      <c r="Q54" s="312"/>
      <c r="R54" s="312"/>
      <c r="S54" s="312"/>
      <c r="T54" s="312"/>
      <c r="U54" s="312"/>
      <c r="V54" s="312"/>
      <c r="W54" s="312"/>
      <c r="X54" s="312"/>
      <c r="Y54" s="312"/>
    </row>
    <row r="55" ht="18.75" spans="1:25">
      <c r="A55" s="312"/>
      <c r="B55" s="312"/>
      <c r="C55" s="312"/>
      <c r="D55" s="312"/>
      <c r="E55" s="312"/>
      <c r="F55" s="312"/>
      <c r="G55" s="312"/>
      <c r="H55" s="312"/>
      <c r="I55" s="312"/>
      <c r="J55" s="312"/>
      <c r="K55" s="312"/>
      <c r="L55" s="312"/>
      <c r="M55" s="312"/>
      <c r="N55" s="312"/>
      <c r="O55" s="312"/>
      <c r="P55" s="312"/>
      <c r="Q55" s="312"/>
      <c r="R55" s="312"/>
      <c r="S55" s="312"/>
      <c r="T55" s="312"/>
      <c r="U55" s="312"/>
      <c r="V55" s="312"/>
      <c r="W55" s="312"/>
      <c r="X55" s="312"/>
      <c r="Y55" s="312"/>
    </row>
    <row r="56" ht="18.75" spans="1:25">
      <c r="A56" s="312"/>
      <c r="B56" s="312"/>
      <c r="C56" s="312"/>
      <c r="D56" s="312"/>
      <c r="E56" s="312"/>
      <c r="F56" s="312"/>
      <c r="G56" s="312"/>
      <c r="H56" s="312"/>
      <c r="I56" s="312"/>
      <c r="J56" s="312"/>
      <c r="K56" s="312"/>
      <c r="L56" s="312"/>
      <c r="M56" s="312"/>
      <c r="N56" s="312"/>
      <c r="O56" s="312"/>
      <c r="P56" s="312"/>
      <c r="Q56" s="312"/>
      <c r="R56" s="312"/>
      <c r="S56" s="312"/>
      <c r="T56" s="312"/>
      <c r="U56" s="312"/>
      <c r="V56" s="312"/>
      <c r="W56" s="312"/>
      <c r="X56" s="312"/>
      <c r="Y56" s="312"/>
    </row>
    <row r="57" ht="18.75" spans="1:25">
      <c r="A57" s="312"/>
      <c r="B57" s="312"/>
      <c r="C57" s="312"/>
      <c r="D57" s="312"/>
      <c r="E57" s="312"/>
      <c r="F57" s="312"/>
      <c r="G57" s="312"/>
      <c r="H57" s="312"/>
      <c r="I57" s="312"/>
      <c r="J57" s="312"/>
      <c r="K57" s="312"/>
      <c r="L57" s="312"/>
      <c r="M57" s="312"/>
      <c r="N57" s="312"/>
      <c r="O57" s="312"/>
      <c r="P57" s="312"/>
      <c r="Q57" s="312"/>
      <c r="R57" s="312"/>
      <c r="S57" s="312"/>
      <c r="T57" s="312"/>
      <c r="U57" s="312"/>
      <c r="V57" s="312"/>
      <c r="W57" s="312"/>
      <c r="X57" s="312"/>
      <c r="Y57" s="312"/>
    </row>
    <row r="58" ht="18.75" spans="1:25">
      <c r="A58" s="312"/>
      <c r="B58" s="312"/>
      <c r="C58" s="312"/>
      <c r="D58" s="312"/>
      <c r="E58" s="312"/>
      <c r="F58" s="312"/>
      <c r="G58" s="312"/>
      <c r="H58" s="312"/>
      <c r="I58" s="312"/>
      <c r="J58" s="312"/>
      <c r="K58" s="312"/>
      <c r="L58" s="312"/>
      <c r="M58" s="312"/>
      <c r="N58" s="312"/>
      <c r="O58" s="312"/>
      <c r="P58" s="312"/>
      <c r="Q58" s="312"/>
      <c r="R58" s="312"/>
      <c r="S58" s="312"/>
      <c r="T58" s="312"/>
      <c r="U58" s="312"/>
      <c r="V58" s="312"/>
      <c r="W58" s="312"/>
      <c r="X58" s="312"/>
      <c r="Y58" s="312"/>
    </row>
    <row r="59" ht="18.75" spans="1:25">
      <c r="A59" s="312"/>
      <c r="B59" s="312"/>
      <c r="C59" s="312"/>
      <c r="D59" s="312"/>
      <c r="E59" s="312"/>
      <c r="F59" s="312"/>
      <c r="G59" s="312"/>
      <c r="H59" s="312"/>
      <c r="I59" s="312"/>
      <c r="J59" s="312"/>
      <c r="K59" s="312"/>
      <c r="L59" s="312"/>
      <c r="M59" s="312"/>
      <c r="N59" s="312"/>
      <c r="O59" s="312"/>
      <c r="P59" s="312"/>
      <c r="Q59" s="312"/>
      <c r="R59" s="312"/>
      <c r="S59" s="312"/>
      <c r="T59" s="312"/>
      <c r="U59" s="312"/>
      <c r="V59" s="312"/>
      <c r="W59" s="312"/>
      <c r="X59" s="312"/>
      <c r="Y59" s="312"/>
    </row>
    <row r="60" ht="18.75" spans="1:25">
      <c r="A60" s="312"/>
      <c r="B60" s="312"/>
      <c r="C60" s="312"/>
      <c r="D60" s="312"/>
      <c r="E60" s="312"/>
      <c r="F60" s="312"/>
      <c r="G60" s="312"/>
      <c r="H60" s="312"/>
      <c r="I60" s="312"/>
      <c r="J60" s="312"/>
      <c r="K60" s="312"/>
      <c r="L60" s="312"/>
      <c r="M60" s="312"/>
      <c r="N60" s="312"/>
      <c r="O60" s="312"/>
      <c r="P60" s="312"/>
      <c r="Q60" s="312"/>
      <c r="R60" s="312"/>
      <c r="S60" s="312"/>
      <c r="T60" s="312"/>
      <c r="U60" s="312"/>
      <c r="V60" s="312"/>
      <c r="W60" s="312"/>
      <c r="X60" s="312"/>
      <c r="Y60" s="312"/>
    </row>
    <row r="61" ht="18.75" spans="1:25">
      <c r="A61" s="312"/>
      <c r="B61" s="312"/>
      <c r="C61" s="312"/>
      <c r="D61" s="312"/>
      <c r="E61" s="312"/>
      <c r="F61" s="312"/>
      <c r="G61" s="312"/>
      <c r="H61" s="312"/>
      <c r="I61" s="312"/>
      <c r="J61" s="312"/>
      <c r="K61" s="312"/>
      <c r="L61" s="312"/>
      <c r="M61" s="312"/>
      <c r="N61" s="312"/>
      <c r="O61" s="312"/>
      <c r="P61" s="312"/>
      <c r="Q61" s="312"/>
      <c r="R61" s="312"/>
      <c r="S61" s="312"/>
      <c r="T61" s="312"/>
      <c r="U61" s="312"/>
      <c r="V61" s="312"/>
      <c r="W61" s="312"/>
      <c r="X61" s="312"/>
      <c r="Y61" s="312"/>
    </row>
    <row r="62" ht="18.75" spans="1:25">
      <c r="A62" s="312"/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</row>
    <row r="63" ht="18.75" spans="1:25">
      <c r="A63" s="312"/>
      <c r="B63" s="312"/>
      <c r="C63" s="312"/>
      <c r="D63" s="312"/>
      <c r="E63" s="312"/>
      <c r="F63" s="312"/>
      <c r="G63" s="312"/>
      <c r="H63" s="312"/>
      <c r="I63" s="312"/>
      <c r="J63" s="312"/>
      <c r="K63" s="312"/>
      <c r="L63" s="312"/>
      <c r="M63" s="312"/>
      <c r="N63" s="312"/>
      <c r="O63" s="312"/>
      <c r="P63" s="312"/>
      <c r="Q63" s="312"/>
      <c r="R63" s="312"/>
      <c r="S63" s="312"/>
      <c r="T63" s="312"/>
      <c r="U63" s="312"/>
      <c r="V63" s="312"/>
      <c r="W63" s="312"/>
      <c r="X63" s="312"/>
      <c r="Y63" s="312"/>
    </row>
    <row r="64" ht="18.75" spans="1:25">
      <c r="A64" s="312"/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</row>
    <row r="65" ht="18.75" spans="1:25">
      <c r="A65" s="312"/>
      <c r="B65" s="312"/>
      <c r="C65" s="312"/>
      <c r="D65" s="312"/>
      <c r="E65" s="312"/>
      <c r="F65" s="312"/>
      <c r="G65" s="312"/>
      <c r="H65" s="312"/>
      <c r="I65" s="312"/>
      <c r="J65" s="312"/>
      <c r="K65" s="312"/>
      <c r="L65" s="312"/>
      <c r="M65" s="312"/>
      <c r="N65" s="312"/>
      <c r="O65" s="312"/>
      <c r="P65" s="312"/>
      <c r="Q65" s="312"/>
      <c r="R65" s="312"/>
      <c r="S65" s="312"/>
      <c r="T65" s="312"/>
      <c r="U65" s="312"/>
      <c r="V65" s="312"/>
      <c r="W65" s="312"/>
      <c r="X65" s="312"/>
      <c r="Y65" s="312"/>
    </row>
    <row r="66" ht="18.75" spans="1:25">
      <c r="A66" s="312"/>
      <c r="B66" s="312"/>
      <c r="C66" s="312"/>
      <c r="D66" s="312"/>
      <c r="E66" s="312"/>
      <c r="F66" s="312"/>
      <c r="G66" s="312"/>
      <c r="H66" s="312"/>
      <c r="I66" s="312"/>
      <c r="J66" s="312"/>
      <c r="K66" s="312"/>
      <c r="L66" s="312"/>
      <c r="M66" s="312"/>
      <c r="N66" s="312"/>
      <c r="O66" s="312"/>
      <c r="P66" s="312"/>
      <c r="Q66" s="312"/>
      <c r="R66" s="312"/>
      <c r="S66" s="312"/>
      <c r="T66" s="312"/>
      <c r="U66" s="312"/>
      <c r="V66" s="312"/>
      <c r="W66" s="312"/>
      <c r="X66" s="312"/>
      <c r="Y66" s="312"/>
    </row>
    <row r="67" ht="18.75" spans="1:25">
      <c r="A67" s="312"/>
      <c r="B67" s="312"/>
      <c r="C67" s="312"/>
      <c r="D67" s="312"/>
      <c r="E67" s="312"/>
      <c r="F67" s="312"/>
      <c r="G67" s="312"/>
      <c r="H67" s="312"/>
      <c r="I67" s="312"/>
      <c r="J67" s="312"/>
      <c r="K67" s="312"/>
      <c r="L67" s="312"/>
      <c r="M67" s="312"/>
      <c r="N67" s="312"/>
      <c r="O67" s="312"/>
      <c r="P67" s="312"/>
      <c r="Q67" s="312"/>
      <c r="R67" s="312"/>
      <c r="S67" s="312"/>
      <c r="T67" s="312"/>
      <c r="U67" s="312"/>
      <c r="V67" s="312"/>
      <c r="W67" s="312"/>
      <c r="X67" s="312"/>
      <c r="Y67" s="312"/>
    </row>
    <row r="68" ht="18.75" spans="1:25">
      <c r="A68" s="312"/>
      <c r="B68" s="312"/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</row>
    <row r="69" ht="18.75" spans="1:25">
      <c r="A69" s="312"/>
      <c r="B69" s="312"/>
      <c r="C69" s="312"/>
      <c r="D69" s="312"/>
      <c r="E69" s="312"/>
      <c r="F69" s="312"/>
      <c r="G69" s="312"/>
      <c r="H69" s="312"/>
      <c r="I69" s="312"/>
      <c r="J69" s="312"/>
      <c r="K69" s="312"/>
      <c r="L69" s="312"/>
      <c r="M69" s="312"/>
      <c r="N69" s="312"/>
      <c r="O69" s="312"/>
      <c r="P69" s="312"/>
      <c r="Q69" s="312"/>
      <c r="R69" s="312"/>
      <c r="S69" s="312"/>
      <c r="T69" s="312"/>
      <c r="U69" s="312"/>
      <c r="V69" s="312"/>
      <c r="W69" s="312"/>
      <c r="X69" s="312"/>
      <c r="Y69" s="312"/>
    </row>
    <row r="70" ht="18.75" spans="1:25">
      <c r="A70" s="312"/>
      <c r="B70" s="312"/>
      <c r="C70" s="312"/>
      <c r="D70" s="312"/>
      <c r="E70" s="312"/>
      <c r="F70" s="312"/>
      <c r="G70" s="312"/>
      <c r="H70" s="312"/>
      <c r="I70" s="312"/>
      <c r="J70" s="312"/>
      <c r="K70" s="312"/>
      <c r="L70" s="312"/>
      <c r="M70" s="312"/>
      <c r="N70" s="312"/>
      <c r="O70" s="312"/>
      <c r="P70" s="312"/>
      <c r="Q70" s="312"/>
      <c r="R70" s="312"/>
      <c r="S70" s="312"/>
      <c r="T70" s="312"/>
      <c r="U70" s="312"/>
      <c r="V70" s="312"/>
      <c r="W70" s="312"/>
      <c r="X70" s="312"/>
      <c r="Y70" s="312"/>
    </row>
    <row r="71" ht="18.75" spans="1:25">
      <c r="A71" s="312"/>
      <c r="B71" s="312"/>
      <c r="C71" s="312"/>
      <c r="D71" s="312"/>
      <c r="E71" s="312"/>
      <c r="F71" s="312"/>
      <c r="G71" s="312"/>
      <c r="H71" s="312"/>
      <c r="I71" s="312"/>
      <c r="J71" s="312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2"/>
      <c r="X71" s="312"/>
      <c r="Y71" s="312"/>
    </row>
    <row r="72" ht="18.75" spans="1:25">
      <c r="A72" s="312"/>
      <c r="B72" s="312"/>
      <c r="C72" s="312"/>
      <c r="D72" s="312"/>
      <c r="E72" s="312"/>
      <c r="F72" s="312"/>
      <c r="G72" s="312"/>
      <c r="H72" s="312"/>
      <c r="I72" s="312"/>
      <c r="J72" s="312"/>
      <c r="K72" s="312"/>
      <c r="L72" s="312"/>
      <c r="M72" s="312"/>
      <c r="N72" s="312"/>
      <c r="O72" s="312"/>
      <c r="P72" s="312"/>
      <c r="Q72" s="312"/>
      <c r="R72" s="312"/>
      <c r="S72" s="312"/>
      <c r="T72" s="312"/>
      <c r="U72" s="312"/>
      <c r="V72" s="312"/>
      <c r="W72" s="312"/>
      <c r="X72" s="312"/>
      <c r="Y72" s="312"/>
    </row>
    <row r="73" ht="18.75" spans="1:25">
      <c r="A73" s="312"/>
      <c r="B73" s="312"/>
      <c r="C73" s="312"/>
      <c r="D73" s="312"/>
      <c r="E73" s="312"/>
      <c r="F73" s="312"/>
      <c r="G73" s="312"/>
      <c r="H73" s="312"/>
      <c r="I73" s="312"/>
      <c r="J73" s="312"/>
      <c r="K73" s="312"/>
      <c r="L73" s="312"/>
      <c r="M73" s="312"/>
      <c r="N73" s="312"/>
      <c r="O73" s="312"/>
      <c r="P73" s="312"/>
      <c r="Q73" s="312"/>
      <c r="R73" s="312"/>
      <c r="S73" s="312"/>
      <c r="T73" s="312"/>
      <c r="U73" s="312"/>
      <c r="V73" s="312"/>
      <c r="W73" s="312"/>
      <c r="X73" s="312"/>
      <c r="Y73" s="312"/>
    </row>
    <row r="74" ht="18.75" spans="1:25">
      <c r="A74" s="312"/>
      <c r="B74" s="312"/>
      <c r="C74" s="312"/>
      <c r="D74" s="312"/>
      <c r="E74" s="312"/>
      <c r="F74" s="312"/>
      <c r="G74" s="312"/>
      <c r="H74" s="312"/>
      <c r="I74" s="312"/>
      <c r="J74" s="312"/>
      <c r="K74" s="312"/>
      <c r="L74" s="312"/>
      <c r="M74" s="312"/>
      <c r="N74" s="312"/>
      <c r="O74" s="312"/>
      <c r="P74" s="312"/>
      <c r="Q74" s="312"/>
      <c r="R74" s="312"/>
      <c r="S74" s="312"/>
      <c r="T74" s="312"/>
      <c r="U74" s="312"/>
      <c r="V74" s="312"/>
      <c r="W74" s="312"/>
      <c r="X74" s="312"/>
      <c r="Y74" s="312"/>
    </row>
    <row r="75" ht="18.75" spans="1:25">
      <c r="A75" s="312"/>
      <c r="B75" s="312"/>
      <c r="C75" s="312"/>
      <c r="D75" s="312"/>
      <c r="E75" s="312"/>
      <c r="F75" s="312"/>
      <c r="G75" s="312"/>
      <c r="H75" s="312"/>
      <c r="I75" s="312"/>
      <c r="J75" s="312"/>
      <c r="K75" s="312"/>
      <c r="L75" s="312"/>
      <c r="M75" s="312"/>
      <c r="N75" s="312"/>
      <c r="O75" s="312"/>
      <c r="P75" s="312"/>
      <c r="Q75" s="312"/>
      <c r="R75" s="312"/>
      <c r="S75" s="312"/>
      <c r="T75" s="312"/>
      <c r="U75" s="312"/>
      <c r="V75" s="312"/>
      <c r="W75" s="312"/>
      <c r="X75" s="312"/>
      <c r="Y75" s="312"/>
    </row>
    <row r="76" ht="18.75" spans="1:25">
      <c r="A76" s="312"/>
      <c r="B76" s="312"/>
      <c r="C76" s="312"/>
      <c r="D76" s="312"/>
      <c r="E76" s="312"/>
      <c r="F76" s="312"/>
      <c r="G76" s="312"/>
      <c r="H76" s="312"/>
      <c r="I76" s="312"/>
      <c r="J76" s="312"/>
      <c r="K76" s="312"/>
      <c r="L76" s="312"/>
      <c r="M76" s="312"/>
      <c r="N76" s="312"/>
      <c r="O76" s="312"/>
      <c r="P76" s="312"/>
      <c r="Q76" s="312"/>
      <c r="R76" s="312"/>
      <c r="S76" s="312"/>
      <c r="T76" s="312"/>
      <c r="U76" s="312"/>
      <c r="V76" s="312"/>
      <c r="W76" s="312"/>
      <c r="X76" s="312"/>
      <c r="Y76" s="312"/>
    </row>
    <row r="77" ht="18.75" spans="1:25">
      <c r="A77" s="312"/>
      <c r="B77" s="312"/>
      <c r="C77" s="312"/>
      <c r="D77" s="312"/>
      <c r="E77" s="312"/>
      <c r="F77" s="312"/>
      <c r="G77" s="312"/>
      <c r="H77" s="312"/>
      <c r="I77" s="312"/>
      <c r="J77" s="312"/>
      <c r="K77" s="312"/>
      <c r="L77" s="312"/>
      <c r="M77" s="312"/>
      <c r="N77" s="312"/>
      <c r="O77" s="312"/>
      <c r="P77" s="312"/>
      <c r="Q77" s="312"/>
      <c r="R77" s="312"/>
      <c r="S77" s="312"/>
      <c r="T77" s="312"/>
      <c r="U77" s="312"/>
      <c r="V77" s="312"/>
      <c r="W77" s="312"/>
      <c r="X77" s="312"/>
      <c r="Y77" s="312"/>
    </row>
    <row r="78" ht="18.75" spans="1:25">
      <c r="A78" s="312"/>
      <c r="B78" s="312"/>
      <c r="C78" s="312"/>
      <c r="D78" s="312"/>
      <c r="E78" s="312"/>
      <c r="F78" s="312"/>
      <c r="G78" s="312"/>
      <c r="H78" s="312"/>
      <c r="I78" s="312"/>
      <c r="J78" s="312"/>
      <c r="K78" s="312"/>
      <c r="L78" s="312"/>
      <c r="M78" s="312"/>
      <c r="N78" s="312"/>
      <c r="O78" s="312"/>
      <c r="P78" s="312"/>
      <c r="Q78" s="312"/>
      <c r="R78" s="312"/>
      <c r="S78" s="312"/>
      <c r="T78" s="312"/>
      <c r="U78" s="312"/>
      <c r="V78" s="312"/>
      <c r="W78" s="312"/>
      <c r="X78" s="312"/>
      <c r="Y78" s="312"/>
    </row>
    <row r="79" ht="18.75" spans="1:25">
      <c r="A79" s="312"/>
      <c r="B79" s="312"/>
      <c r="C79" s="312"/>
      <c r="D79" s="312"/>
      <c r="E79" s="312"/>
      <c r="F79" s="312"/>
      <c r="G79" s="312"/>
      <c r="H79" s="312"/>
      <c r="I79" s="312"/>
      <c r="J79" s="312"/>
      <c r="K79" s="312"/>
      <c r="L79" s="312"/>
      <c r="M79" s="312"/>
      <c r="N79" s="312"/>
      <c r="O79" s="312"/>
      <c r="P79" s="312"/>
      <c r="Q79" s="312"/>
      <c r="R79" s="312"/>
      <c r="S79" s="312"/>
      <c r="T79" s="312"/>
      <c r="U79" s="312"/>
      <c r="V79" s="312"/>
      <c r="W79" s="312"/>
      <c r="X79" s="312"/>
      <c r="Y79" s="312"/>
    </row>
    <row r="80" ht="18.75" spans="1:25">
      <c r="A80" s="312"/>
      <c r="B80" s="312"/>
      <c r="C80" s="312"/>
      <c r="D80" s="312"/>
      <c r="E80" s="312"/>
      <c r="F80" s="312"/>
      <c r="G80" s="312"/>
      <c r="H80" s="312"/>
      <c r="I80" s="312"/>
      <c r="J80" s="312"/>
      <c r="K80" s="312"/>
      <c r="L80" s="312"/>
      <c r="M80" s="312"/>
      <c r="N80" s="312"/>
      <c r="O80" s="312"/>
      <c r="P80" s="312"/>
      <c r="Q80" s="312"/>
      <c r="R80" s="312"/>
      <c r="S80" s="312"/>
      <c r="T80" s="312"/>
      <c r="U80" s="312"/>
      <c r="V80" s="312"/>
      <c r="W80" s="312"/>
      <c r="X80" s="312"/>
      <c r="Y80" s="312"/>
    </row>
    <row r="81" ht="18.75" spans="1:25">
      <c r="A81" s="312"/>
      <c r="B81" s="312"/>
      <c r="C81" s="312"/>
      <c r="D81" s="312"/>
      <c r="E81" s="312"/>
      <c r="F81" s="312"/>
      <c r="G81" s="312"/>
      <c r="H81" s="312"/>
      <c r="I81" s="312"/>
      <c r="J81" s="312"/>
      <c r="K81" s="312"/>
      <c r="L81" s="312"/>
      <c r="M81" s="312"/>
      <c r="N81" s="312"/>
      <c r="O81" s="312"/>
      <c r="P81" s="312"/>
      <c r="Q81" s="312"/>
      <c r="R81" s="312"/>
      <c r="S81" s="312"/>
      <c r="T81" s="312"/>
      <c r="U81" s="312"/>
      <c r="V81" s="312"/>
      <c r="W81" s="312"/>
      <c r="X81" s="312"/>
      <c r="Y81" s="312"/>
    </row>
    <row r="82" ht="18.75" spans="1:25">
      <c r="A82" s="312"/>
      <c r="B82" s="312"/>
      <c r="C82" s="312"/>
      <c r="D82" s="312"/>
      <c r="E82" s="312"/>
      <c r="F82" s="312"/>
      <c r="G82" s="312"/>
      <c r="H82" s="312"/>
      <c r="I82" s="312"/>
      <c r="J82" s="312"/>
      <c r="K82" s="312"/>
      <c r="L82" s="312"/>
      <c r="M82" s="312"/>
      <c r="N82" s="312"/>
      <c r="O82" s="312"/>
      <c r="P82" s="312"/>
      <c r="Q82" s="312"/>
      <c r="R82" s="312"/>
      <c r="S82" s="312"/>
      <c r="T82" s="312"/>
      <c r="U82" s="312"/>
      <c r="V82" s="312"/>
      <c r="W82" s="312"/>
      <c r="X82" s="312"/>
      <c r="Y82" s="312"/>
    </row>
    <row r="83" ht="18.75" spans="1:25">
      <c r="A83" s="312"/>
      <c r="B83" s="312"/>
      <c r="C83" s="312"/>
      <c r="D83" s="312"/>
      <c r="E83" s="312"/>
      <c r="F83" s="312"/>
      <c r="G83" s="312"/>
      <c r="H83" s="312"/>
      <c r="I83" s="312"/>
      <c r="J83" s="312"/>
      <c r="K83" s="312"/>
      <c r="L83" s="312"/>
      <c r="M83" s="312"/>
      <c r="N83" s="312"/>
      <c r="O83" s="312"/>
      <c r="P83" s="312"/>
      <c r="Q83" s="312"/>
      <c r="R83" s="312"/>
      <c r="S83" s="312"/>
      <c r="T83" s="312"/>
      <c r="U83" s="312"/>
      <c r="V83" s="312"/>
      <c r="W83" s="312"/>
      <c r="X83" s="312"/>
      <c r="Y83" s="312"/>
    </row>
    <row r="84" ht="18.75" spans="1:25">
      <c r="A84" s="312"/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</row>
    <row r="85" ht="18.75" spans="1:25">
      <c r="A85" s="312"/>
      <c r="B85" s="312"/>
      <c r="C85" s="312"/>
      <c r="D85" s="312"/>
      <c r="E85" s="312"/>
      <c r="F85" s="312"/>
      <c r="G85" s="312"/>
      <c r="H85" s="312"/>
      <c r="I85" s="312"/>
      <c r="J85" s="312"/>
      <c r="K85" s="312"/>
      <c r="L85" s="312"/>
      <c r="M85" s="312"/>
      <c r="N85" s="312"/>
      <c r="O85" s="312"/>
      <c r="P85" s="312"/>
      <c r="Q85" s="312"/>
      <c r="R85" s="312"/>
      <c r="S85" s="312"/>
      <c r="T85" s="312"/>
      <c r="U85" s="312"/>
      <c r="V85" s="312"/>
      <c r="W85" s="312"/>
      <c r="X85" s="312"/>
      <c r="Y85" s="312"/>
    </row>
    <row r="86" ht="18.75" spans="1:25">
      <c r="A86" s="312"/>
      <c r="B86" s="312"/>
      <c r="C86" s="312"/>
      <c r="D86" s="312"/>
      <c r="E86" s="312"/>
      <c r="F86" s="312"/>
      <c r="G86" s="312"/>
      <c r="H86" s="312"/>
      <c r="I86" s="312"/>
      <c r="J86" s="312"/>
      <c r="K86" s="312"/>
      <c r="L86" s="312"/>
      <c r="M86" s="312"/>
      <c r="N86" s="312"/>
      <c r="O86" s="312"/>
      <c r="P86" s="312"/>
      <c r="Q86" s="312"/>
      <c r="R86" s="312"/>
      <c r="S86" s="312"/>
      <c r="T86" s="312"/>
      <c r="U86" s="312"/>
      <c r="V86" s="312"/>
      <c r="W86" s="312"/>
      <c r="X86" s="312"/>
      <c r="Y86" s="312"/>
    </row>
    <row r="87" ht="18.75" spans="1:25">
      <c r="A87" s="312"/>
      <c r="B87" s="312"/>
      <c r="C87" s="312"/>
      <c r="D87" s="312"/>
      <c r="E87" s="312"/>
      <c r="F87" s="312"/>
      <c r="G87" s="312"/>
      <c r="H87" s="312"/>
      <c r="I87" s="312"/>
      <c r="J87" s="312"/>
      <c r="K87" s="312"/>
      <c r="L87" s="312"/>
      <c r="M87" s="312"/>
      <c r="N87" s="312"/>
      <c r="O87" s="312"/>
      <c r="P87" s="312"/>
      <c r="Q87" s="312"/>
      <c r="R87" s="312"/>
      <c r="S87" s="312"/>
      <c r="T87" s="312"/>
      <c r="U87" s="312"/>
      <c r="V87" s="312"/>
      <c r="W87" s="312"/>
      <c r="X87" s="312"/>
      <c r="Y87" s="312"/>
    </row>
    <row r="88" ht="18.75" spans="1:25">
      <c r="A88" s="312"/>
      <c r="B88" s="312"/>
      <c r="C88" s="312"/>
      <c r="D88" s="312"/>
      <c r="E88" s="312"/>
      <c r="F88" s="312"/>
      <c r="G88" s="312"/>
      <c r="H88" s="312"/>
      <c r="I88" s="312"/>
      <c r="J88" s="312"/>
      <c r="K88" s="312"/>
      <c r="L88" s="312"/>
      <c r="M88" s="312"/>
      <c r="N88" s="312"/>
      <c r="O88" s="312"/>
      <c r="P88" s="312"/>
      <c r="Q88" s="312"/>
      <c r="R88" s="312"/>
      <c r="S88" s="312"/>
      <c r="T88" s="312"/>
      <c r="U88" s="312"/>
      <c r="V88" s="312"/>
      <c r="W88" s="312"/>
      <c r="X88" s="312"/>
      <c r="Y88" s="312"/>
    </row>
    <row r="89" ht="18.75" spans="1:25">
      <c r="A89" s="312"/>
      <c r="B89" s="312"/>
      <c r="C89" s="312"/>
      <c r="D89" s="312"/>
      <c r="E89" s="312"/>
      <c r="F89" s="312"/>
      <c r="G89" s="312"/>
      <c r="H89" s="312"/>
      <c r="I89" s="312"/>
      <c r="J89" s="312"/>
      <c r="K89" s="312"/>
      <c r="L89" s="312"/>
      <c r="M89" s="312"/>
      <c r="N89" s="312"/>
      <c r="O89" s="312"/>
      <c r="P89" s="312"/>
      <c r="Q89" s="312"/>
      <c r="R89" s="312"/>
      <c r="S89" s="312"/>
      <c r="T89" s="312"/>
      <c r="U89" s="312"/>
      <c r="V89" s="312"/>
      <c r="W89" s="312"/>
      <c r="X89" s="312"/>
      <c r="Y89" s="312"/>
    </row>
    <row r="90" ht="18.75" spans="1:25">
      <c r="A90" s="312"/>
      <c r="B90" s="312"/>
      <c r="C90" s="312"/>
      <c r="D90" s="312"/>
      <c r="E90" s="312"/>
      <c r="F90" s="312"/>
      <c r="G90" s="312"/>
      <c r="H90" s="312"/>
      <c r="I90" s="312"/>
      <c r="J90" s="312"/>
      <c r="K90" s="312"/>
      <c r="L90" s="312"/>
      <c r="M90" s="312"/>
      <c r="N90" s="312"/>
      <c r="O90" s="312"/>
      <c r="P90" s="312"/>
      <c r="Q90" s="312"/>
      <c r="R90" s="312"/>
      <c r="S90" s="312"/>
      <c r="T90" s="312"/>
      <c r="U90" s="312"/>
      <c r="V90" s="312"/>
      <c r="W90" s="312"/>
      <c r="X90" s="312"/>
      <c r="Y90" s="312"/>
    </row>
    <row r="91" ht="18.75" spans="1:25">
      <c r="A91" s="312"/>
      <c r="B91" s="312"/>
      <c r="C91" s="312"/>
      <c r="D91" s="312"/>
      <c r="E91" s="312"/>
      <c r="F91" s="312"/>
      <c r="G91" s="312"/>
      <c r="H91" s="312"/>
      <c r="I91" s="312"/>
      <c r="J91" s="312"/>
      <c r="K91" s="312"/>
      <c r="L91" s="312"/>
      <c r="M91" s="312"/>
      <c r="N91" s="312"/>
      <c r="O91" s="312"/>
      <c r="P91" s="312"/>
      <c r="Q91" s="312"/>
      <c r="R91" s="312"/>
      <c r="S91" s="312"/>
      <c r="T91" s="312"/>
      <c r="U91" s="312"/>
      <c r="V91" s="312"/>
      <c r="W91" s="312"/>
      <c r="X91" s="312"/>
      <c r="Y91" s="312"/>
    </row>
    <row r="92" ht="18.75" spans="1:25">
      <c r="A92" s="312"/>
      <c r="B92" s="312"/>
      <c r="C92" s="312"/>
      <c r="D92" s="312"/>
      <c r="E92" s="312"/>
      <c r="F92" s="312"/>
      <c r="G92" s="312"/>
      <c r="H92" s="312"/>
      <c r="I92" s="312"/>
      <c r="J92" s="312"/>
      <c r="K92" s="312"/>
      <c r="L92" s="312"/>
      <c r="M92" s="312"/>
      <c r="N92" s="312"/>
      <c r="O92" s="312"/>
      <c r="P92" s="312"/>
      <c r="Q92" s="312"/>
      <c r="R92" s="312"/>
      <c r="S92" s="312"/>
      <c r="T92" s="312"/>
      <c r="U92" s="312"/>
      <c r="V92" s="312"/>
      <c r="W92" s="312"/>
      <c r="X92" s="312"/>
      <c r="Y92" s="312"/>
    </row>
    <row r="93" ht="18.75" spans="1:25">
      <c r="A93" s="312"/>
      <c r="B93" s="312"/>
      <c r="C93" s="312"/>
      <c r="D93" s="312"/>
      <c r="E93" s="312"/>
      <c r="F93" s="312"/>
      <c r="G93" s="312"/>
      <c r="H93" s="312"/>
      <c r="I93" s="312"/>
      <c r="J93" s="312"/>
      <c r="K93" s="312"/>
      <c r="L93" s="312"/>
      <c r="M93" s="312"/>
      <c r="N93" s="312"/>
      <c r="O93" s="312"/>
      <c r="P93" s="312"/>
      <c r="Q93" s="312"/>
      <c r="R93" s="312"/>
      <c r="S93" s="312"/>
      <c r="T93" s="312"/>
      <c r="U93" s="312"/>
      <c r="V93" s="312"/>
      <c r="W93" s="312"/>
      <c r="X93" s="312"/>
      <c r="Y93" s="312"/>
    </row>
    <row r="94" ht="18.75" spans="1:25">
      <c r="A94" s="312"/>
      <c r="B94" s="312"/>
      <c r="C94" s="312"/>
      <c r="D94" s="312"/>
      <c r="E94" s="312"/>
      <c r="F94" s="312"/>
      <c r="G94" s="312"/>
      <c r="H94" s="312"/>
      <c r="I94" s="312"/>
      <c r="J94" s="312"/>
      <c r="K94" s="312"/>
      <c r="L94" s="312"/>
      <c r="M94" s="312"/>
      <c r="N94" s="312"/>
      <c r="O94" s="312"/>
      <c r="P94" s="312"/>
      <c r="Q94" s="312"/>
      <c r="R94" s="312"/>
      <c r="S94" s="312"/>
      <c r="T94" s="312"/>
      <c r="U94" s="312"/>
      <c r="V94" s="312"/>
      <c r="W94" s="312"/>
      <c r="X94" s="312"/>
      <c r="Y94" s="312"/>
    </row>
    <row r="95" ht="18.75" spans="1:25">
      <c r="A95" s="312"/>
      <c r="B95" s="312"/>
      <c r="C95" s="312"/>
      <c r="D95" s="312"/>
      <c r="E95" s="312"/>
      <c r="F95" s="312"/>
      <c r="G95" s="312"/>
      <c r="H95" s="312"/>
      <c r="I95" s="312"/>
      <c r="J95" s="312"/>
      <c r="K95" s="312"/>
      <c r="L95" s="312"/>
      <c r="M95" s="312"/>
      <c r="N95" s="312"/>
      <c r="O95" s="312"/>
      <c r="P95" s="312"/>
      <c r="Q95" s="312"/>
      <c r="R95" s="312"/>
      <c r="S95" s="312"/>
      <c r="T95" s="312"/>
      <c r="U95" s="312"/>
      <c r="V95" s="312"/>
      <c r="W95" s="312"/>
      <c r="X95" s="312"/>
      <c r="Y95" s="312"/>
    </row>
    <row r="96" ht="18.75" spans="1:25">
      <c r="A96" s="312"/>
      <c r="B96" s="312"/>
      <c r="C96" s="312"/>
      <c r="D96" s="312"/>
      <c r="E96" s="312"/>
      <c r="F96" s="312"/>
      <c r="G96" s="312"/>
      <c r="H96" s="312"/>
      <c r="I96" s="312"/>
      <c r="J96" s="312"/>
      <c r="K96" s="312"/>
      <c r="L96" s="312"/>
      <c r="M96" s="312"/>
      <c r="N96" s="312"/>
      <c r="O96" s="312"/>
      <c r="P96" s="312"/>
      <c r="Q96" s="312"/>
      <c r="R96" s="312"/>
      <c r="S96" s="312"/>
      <c r="T96" s="312"/>
      <c r="U96" s="312"/>
      <c r="V96" s="312"/>
      <c r="W96" s="312"/>
      <c r="X96" s="312"/>
      <c r="Y96" s="312"/>
    </row>
    <row r="97" ht="18.75" spans="1:25">
      <c r="A97" s="312"/>
      <c r="B97" s="312"/>
      <c r="C97" s="312"/>
      <c r="D97" s="312"/>
      <c r="E97" s="312"/>
      <c r="F97" s="312"/>
      <c r="G97" s="312"/>
      <c r="H97" s="312"/>
      <c r="I97" s="312"/>
      <c r="J97" s="312"/>
      <c r="K97" s="312"/>
      <c r="L97" s="312"/>
      <c r="M97" s="312"/>
      <c r="N97" s="312"/>
      <c r="O97" s="312"/>
      <c r="P97" s="312"/>
      <c r="Q97" s="312"/>
      <c r="R97" s="312"/>
      <c r="S97" s="312"/>
      <c r="T97" s="312"/>
      <c r="U97" s="312"/>
      <c r="V97" s="312"/>
      <c r="W97" s="312"/>
      <c r="X97" s="312"/>
      <c r="Y97" s="312"/>
    </row>
    <row r="98" ht="18.75" spans="1:25">
      <c r="A98" s="312"/>
      <c r="B98" s="312"/>
      <c r="C98" s="312"/>
      <c r="D98" s="312"/>
      <c r="E98" s="312"/>
      <c r="F98" s="312"/>
      <c r="G98" s="312"/>
      <c r="H98" s="312"/>
      <c r="I98" s="312"/>
      <c r="J98" s="312"/>
      <c r="K98" s="312"/>
      <c r="L98" s="312"/>
      <c r="M98" s="312"/>
      <c r="N98" s="312"/>
      <c r="O98" s="312"/>
      <c r="P98" s="312"/>
      <c r="Q98" s="312"/>
      <c r="R98" s="312"/>
      <c r="S98" s="312"/>
      <c r="T98" s="312"/>
      <c r="U98" s="312"/>
      <c r="V98" s="312"/>
      <c r="W98" s="312"/>
      <c r="X98" s="312"/>
      <c r="Y98" s="312"/>
    </row>
    <row r="99" ht="18.75" spans="1:25">
      <c r="A99" s="312"/>
      <c r="B99" s="312"/>
      <c r="C99" s="312"/>
      <c r="D99" s="312"/>
      <c r="E99" s="312"/>
      <c r="F99" s="312"/>
      <c r="G99" s="312"/>
      <c r="H99" s="312"/>
      <c r="I99" s="312"/>
      <c r="J99" s="312"/>
      <c r="K99" s="312"/>
      <c r="L99" s="312"/>
      <c r="M99" s="312"/>
      <c r="N99" s="312"/>
      <c r="O99" s="312"/>
      <c r="P99" s="312"/>
      <c r="Q99" s="312"/>
      <c r="R99" s="312"/>
      <c r="S99" s="312"/>
      <c r="T99" s="312"/>
      <c r="U99" s="312"/>
      <c r="V99" s="312"/>
      <c r="W99" s="312"/>
      <c r="X99" s="312"/>
      <c r="Y99" s="312"/>
    </row>
    <row r="100" ht="18.75" spans="1:25">
      <c r="A100" s="312"/>
      <c r="B100" s="312"/>
      <c r="C100" s="312"/>
      <c r="D100" s="312"/>
      <c r="E100" s="312"/>
      <c r="F100" s="312"/>
      <c r="G100" s="312"/>
      <c r="H100" s="312"/>
      <c r="I100" s="312"/>
      <c r="J100" s="312"/>
      <c r="K100" s="312"/>
      <c r="L100" s="312"/>
      <c r="M100" s="312"/>
      <c r="N100" s="312"/>
      <c r="O100" s="312"/>
      <c r="P100" s="312"/>
      <c r="Q100" s="312"/>
      <c r="R100" s="312"/>
      <c r="S100" s="312"/>
      <c r="T100" s="312"/>
      <c r="U100" s="312"/>
      <c r="V100" s="312"/>
      <c r="W100" s="312"/>
      <c r="X100" s="312"/>
      <c r="Y100" s="312"/>
    </row>
    <row r="101" ht="18.75" spans="1:25">
      <c r="A101" s="312"/>
      <c r="B101" s="312"/>
      <c r="C101" s="312"/>
      <c r="D101" s="312"/>
      <c r="E101" s="312"/>
      <c r="F101" s="312"/>
      <c r="G101" s="312"/>
      <c r="H101" s="312"/>
      <c r="I101" s="312"/>
      <c r="J101" s="312"/>
      <c r="K101" s="312"/>
      <c r="L101" s="312"/>
      <c r="M101" s="312"/>
      <c r="N101" s="312"/>
      <c r="O101" s="312"/>
      <c r="P101" s="312"/>
      <c r="Q101" s="312"/>
      <c r="R101" s="312"/>
      <c r="S101" s="312"/>
      <c r="T101" s="312"/>
      <c r="U101" s="312"/>
      <c r="V101" s="312"/>
      <c r="W101" s="312"/>
      <c r="X101" s="312"/>
      <c r="Y101" s="312"/>
    </row>
    <row r="102" ht="18.75" spans="1:25">
      <c r="A102" s="312"/>
      <c r="B102" s="312"/>
      <c r="C102" s="312"/>
      <c r="D102" s="312"/>
      <c r="E102" s="312"/>
      <c r="F102" s="312"/>
      <c r="G102" s="312"/>
      <c r="H102" s="312"/>
      <c r="I102" s="312"/>
      <c r="J102" s="312"/>
      <c r="K102" s="312"/>
      <c r="L102" s="312"/>
      <c r="M102" s="312"/>
      <c r="N102" s="312"/>
      <c r="O102" s="312"/>
      <c r="P102" s="312"/>
      <c r="Q102" s="312"/>
      <c r="R102" s="312"/>
      <c r="S102" s="312"/>
      <c r="T102" s="312"/>
      <c r="U102" s="312"/>
      <c r="V102" s="312"/>
      <c r="W102" s="312"/>
      <c r="X102" s="312"/>
      <c r="Y102" s="312"/>
    </row>
    <row r="103" ht="18.75" spans="1:25">
      <c r="A103" s="312"/>
      <c r="B103" s="312"/>
      <c r="C103" s="312"/>
      <c r="D103" s="312"/>
      <c r="E103" s="312"/>
      <c r="F103" s="312"/>
      <c r="G103" s="312"/>
      <c r="H103" s="312"/>
      <c r="I103" s="312"/>
      <c r="J103" s="312"/>
      <c r="K103" s="312"/>
      <c r="L103" s="312"/>
      <c r="M103" s="312"/>
      <c r="N103" s="312"/>
      <c r="O103" s="312"/>
      <c r="P103" s="312"/>
      <c r="Q103" s="312"/>
      <c r="R103" s="312"/>
      <c r="S103" s="312"/>
      <c r="T103" s="312"/>
      <c r="U103" s="312"/>
      <c r="V103" s="312"/>
      <c r="W103" s="312"/>
      <c r="X103" s="312"/>
      <c r="Y103" s="312"/>
    </row>
    <row r="104" ht="18.75" spans="1:25">
      <c r="A104" s="312"/>
      <c r="B104" s="312"/>
      <c r="C104" s="312"/>
      <c r="D104" s="312"/>
      <c r="E104" s="312"/>
      <c r="F104" s="312"/>
      <c r="G104" s="312"/>
      <c r="H104" s="312"/>
      <c r="I104" s="312"/>
      <c r="J104" s="312"/>
      <c r="K104" s="312"/>
      <c r="L104" s="312"/>
      <c r="M104" s="312"/>
      <c r="N104" s="312"/>
      <c r="O104" s="312"/>
      <c r="P104" s="312"/>
      <c r="Q104" s="312"/>
      <c r="R104" s="312"/>
      <c r="S104" s="312"/>
      <c r="T104" s="312"/>
      <c r="U104" s="312"/>
      <c r="V104" s="312"/>
      <c r="W104" s="312"/>
      <c r="X104" s="312"/>
      <c r="Y104" s="312"/>
    </row>
    <row r="105" ht="18.75" spans="1:25">
      <c r="A105" s="312"/>
      <c r="B105" s="312"/>
      <c r="C105" s="312"/>
      <c r="D105" s="312"/>
      <c r="E105" s="312"/>
      <c r="F105" s="312"/>
      <c r="G105" s="312"/>
      <c r="H105" s="312"/>
      <c r="I105" s="312"/>
      <c r="J105" s="312"/>
      <c r="K105" s="312"/>
      <c r="L105" s="312"/>
      <c r="M105" s="312"/>
      <c r="N105" s="312"/>
      <c r="O105" s="312"/>
      <c r="P105" s="312"/>
      <c r="Q105" s="312"/>
      <c r="R105" s="312"/>
      <c r="S105" s="312"/>
      <c r="T105" s="312"/>
      <c r="U105" s="312"/>
      <c r="V105" s="312"/>
      <c r="W105" s="312"/>
      <c r="X105" s="312"/>
      <c r="Y105" s="312"/>
    </row>
    <row r="106" ht="18.75" spans="1:25">
      <c r="A106" s="312"/>
      <c r="B106" s="312"/>
      <c r="C106" s="312"/>
      <c r="D106" s="312"/>
      <c r="E106" s="312"/>
      <c r="F106" s="312"/>
      <c r="G106" s="312"/>
      <c r="H106" s="312"/>
      <c r="I106" s="312"/>
      <c r="J106" s="312"/>
      <c r="K106" s="312"/>
      <c r="L106" s="312"/>
      <c r="M106" s="312"/>
      <c r="N106" s="312"/>
      <c r="O106" s="312"/>
      <c r="P106" s="312"/>
      <c r="Q106" s="312"/>
      <c r="R106" s="312"/>
      <c r="S106" s="312"/>
      <c r="T106" s="312"/>
      <c r="U106" s="312"/>
      <c r="V106" s="312"/>
      <c r="W106" s="312"/>
      <c r="X106" s="312"/>
      <c r="Y106" s="312"/>
    </row>
    <row r="107" ht="18.75" spans="1:25">
      <c r="A107" s="312"/>
      <c r="B107" s="312"/>
      <c r="C107" s="312"/>
      <c r="D107" s="312"/>
      <c r="E107" s="312"/>
      <c r="F107" s="312"/>
      <c r="G107" s="312"/>
      <c r="H107" s="312"/>
      <c r="I107" s="312"/>
      <c r="J107" s="312"/>
      <c r="K107" s="312"/>
      <c r="L107" s="312"/>
      <c r="M107" s="312"/>
      <c r="N107" s="312"/>
      <c r="O107" s="312"/>
      <c r="P107" s="312"/>
      <c r="Q107" s="312"/>
      <c r="R107" s="312"/>
      <c r="S107" s="312"/>
      <c r="T107" s="312"/>
      <c r="U107" s="312"/>
      <c r="V107" s="312"/>
      <c r="W107" s="312"/>
      <c r="X107" s="312"/>
      <c r="Y107" s="312"/>
    </row>
    <row r="108" ht="18.75" spans="1:25">
      <c r="A108" s="312"/>
      <c r="B108" s="312"/>
      <c r="C108" s="312"/>
      <c r="D108" s="312"/>
      <c r="E108" s="312"/>
      <c r="F108" s="312"/>
      <c r="G108" s="312"/>
      <c r="H108" s="312"/>
      <c r="I108" s="312"/>
      <c r="J108" s="312"/>
      <c r="K108" s="312"/>
      <c r="L108" s="312"/>
      <c r="M108" s="312"/>
      <c r="N108" s="312"/>
      <c r="O108" s="312"/>
      <c r="P108" s="312"/>
      <c r="Q108" s="312"/>
      <c r="R108" s="312"/>
      <c r="S108" s="312"/>
      <c r="T108" s="312"/>
      <c r="U108" s="312"/>
      <c r="V108" s="312"/>
      <c r="W108" s="312"/>
      <c r="X108" s="312"/>
      <c r="Y108" s="312"/>
    </row>
    <row r="109" ht="18.75" spans="1:25">
      <c r="A109" s="312"/>
      <c r="B109" s="312"/>
      <c r="C109" s="312"/>
      <c r="D109" s="312"/>
      <c r="E109" s="312"/>
      <c r="F109" s="312"/>
      <c r="G109" s="312"/>
      <c r="H109" s="312"/>
      <c r="I109" s="312"/>
      <c r="J109" s="312"/>
      <c r="K109" s="312"/>
      <c r="L109" s="312"/>
      <c r="M109" s="312"/>
      <c r="N109" s="312"/>
      <c r="O109" s="312"/>
      <c r="P109" s="312"/>
      <c r="Q109" s="312"/>
      <c r="R109" s="312"/>
      <c r="S109" s="312"/>
      <c r="T109" s="312"/>
      <c r="U109" s="312"/>
      <c r="V109" s="312"/>
      <c r="W109" s="312"/>
      <c r="X109" s="312"/>
      <c r="Y109" s="312"/>
    </row>
    <row r="110" ht="18.75" spans="1:25">
      <c r="A110" s="312"/>
      <c r="B110" s="312"/>
      <c r="C110" s="312"/>
      <c r="D110" s="312"/>
      <c r="E110" s="312"/>
      <c r="F110" s="312"/>
      <c r="G110" s="312"/>
      <c r="H110" s="312"/>
      <c r="I110" s="312"/>
      <c r="J110" s="312"/>
      <c r="K110" s="312"/>
      <c r="L110" s="312"/>
      <c r="M110" s="312"/>
      <c r="N110" s="312"/>
      <c r="O110" s="312"/>
      <c r="P110" s="312"/>
      <c r="Q110" s="312"/>
      <c r="R110" s="312"/>
      <c r="S110" s="312"/>
      <c r="T110" s="312"/>
      <c r="U110" s="312"/>
      <c r="V110" s="312"/>
      <c r="W110" s="312"/>
      <c r="X110" s="312"/>
      <c r="Y110" s="312"/>
    </row>
    <row r="111" ht="18.75" spans="1:25">
      <c r="A111" s="312"/>
      <c r="B111" s="312"/>
      <c r="C111" s="312"/>
      <c r="D111" s="312"/>
      <c r="E111" s="312"/>
      <c r="F111" s="312"/>
      <c r="G111" s="312"/>
      <c r="H111" s="312"/>
      <c r="I111" s="312"/>
      <c r="J111" s="312"/>
      <c r="K111" s="312"/>
      <c r="L111" s="312"/>
      <c r="M111" s="312"/>
      <c r="N111" s="312"/>
      <c r="O111" s="312"/>
      <c r="P111" s="312"/>
      <c r="Q111" s="312"/>
      <c r="R111" s="312"/>
      <c r="S111" s="312"/>
      <c r="T111" s="312"/>
      <c r="U111" s="312"/>
      <c r="V111" s="312"/>
      <c r="W111" s="312"/>
      <c r="X111" s="312"/>
      <c r="Y111" s="312"/>
    </row>
    <row r="112" ht="18.75" spans="1:25">
      <c r="A112" s="312"/>
      <c r="B112" s="312"/>
      <c r="C112" s="312"/>
      <c r="D112" s="312"/>
      <c r="E112" s="312"/>
      <c r="F112" s="312"/>
      <c r="G112" s="312"/>
      <c r="H112" s="312"/>
      <c r="I112" s="312"/>
      <c r="J112" s="312"/>
      <c r="K112" s="312"/>
      <c r="L112" s="312"/>
      <c r="M112" s="312"/>
      <c r="N112" s="312"/>
      <c r="O112" s="312"/>
      <c r="P112" s="312"/>
      <c r="Q112" s="312"/>
      <c r="R112" s="312"/>
      <c r="S112" s="312"/>
      <c r="T112" s="312"/>
      <c r="U112" s="312"/>
      <c r="V112" s="312"/>
      <c r="W112" s="312"/>
      <c r="X112" s="312"/>
      <c r="Y112" s="312"/>
    </row>
    <row r="113" ht="18.75" spans="1:25">
      <c r="A113" s="312"/>
      <c r="B113" s="312"/>
      <c r="C113" s="312"/>
      <c r="D113" s="312"/>
      <c r="E113" s="312"/>
      <c r="F113" s="312"/>
      <c r="G113" s="312"/>
      <c r="H113" s="312"/>
      <c r="I113" s="312"/>
      <c r="J113" s="312"/>
      <c r="K113" s="312"/>
      <c r="L113" s="312"/>
      <c r="M113" s="312"/>
      <c r="N113" s="312"/>
      <c r="O113" s="312"/>
      <c r="P113" s="312"/>
      <c r="Q113" s="312"/>
      <c r="R113" s="312"/>
      <c r="S113" s="312"/>
      <c r="T113" s="312"/>
      <c r="U113" s="312"/>
      <c r="V113" s="312"/>
      <c r="W113" s="312"/>
      <c r="X113" s="312"/>
      <c r="Y113" s="312"/>
    </row>
    <row r="114" ht="18.75" spans="1:25">
      <c r="A114" s="312"/>
      <c r="B114" s="312"/>
      <c r="C114" s="312"/>
      <c r="D114" s="312"/>
      <c r="E114" s="312"/>
      <c r="F114" s="312"/>
      <c r="G114" s="312"/>
      <c r="H114" s="312"/>
      <c r="I114" s="312"/>
      <c r="J114" s="312"/>
      <c r="K114" s="312"/>
      <c r="L114" s="312"/>
      <c r="M114" s="312"/>
      <c r="N114" s="312"/>
      <c r="O114" s="312"/>
      <c r="P114" s="312"/>
      <c r="Q114" s="312"/>
      <c r="R114" s="312"/>
      <c r="S114" s="312"/>
      <c r="T114" s="312"/>
      <c r="U114" s="312"/>
      <c r="V114" s="312"/>
      <c r="W114" s="312"/>
      <c r="X114" s="312"/>
      <c r="Y114" s="312"/>
    </row>
    <row r="115" ht="18.75" spans="1:25">
      <c r="A115" s="312"/>
      <c r="B115" s="312"/>
      <c r="C115" s="312"/>
      <c r="D115" s="312"/>
      <c r="E115" s="312"/>
      <c r="F115" s="312"/>
      <c r="G115" s="312"/>
      <c r="H115" s="312"/>
      <c r="I115" s="312"/>
      <c r="J115" s="312"/>
      <c r="K115" s="312"/>
      <c r="L115" s="312"/>
      <c r="M115" s="312"/>
      <c r="N115" s="312"/>
      <c r="O115" s="312"/>
      <c r="P115" s="312"/>
      <c r="Q115" s="312"/>
      <c r="R115" s="312"/>
      <c r="S115" s="312"/>
      <c r="T115" s="312"/>
      <c r="U115" s="312"/>
      <c r="V115" s="312"/>
      <c r="W115" s="312"/>
      <c r="X115" s="312"/>
      <c r="Y115" s="312"/>
    </row>
    <row r="116" ht="18.75" spans="1:25">
      <c r="A116" s="312"/>
      <c r="B116" s="312"/>
      <c r="C116" s="312"/>
      <c r="D116" s="312"/>
      <c r="E116" s="312"/>
      <c r="F116" s="312"/>
      <c r="G116" s="312"/>
      <c r="H116" s="312"/>
      <c r="I116" s="312"/>
      <c r="J116" s="312"/>
      <c r="K116" s="312"/>
      <c r="L116" s="312"/>
      <c r="M116" s="312"/>
      <c r="N116" s="312"/>
      <c r="O116" s="312"/>
      <c r="P116" s="312"/>
      <c r="Q116" s="312"/>
      <c r="R116" s="312"/>
      <c r="S116" s="312"/>
      <c r="T116" s="312"/>
      <c r="U116" s="312"/>
      <c r="V116" s="312"/>
      <c r="W116" s="312"/>
      <c r="X116" s="312"/>
      <c r="Y116" s="312"/>
    </row>
    <row r="117" ht="18.75" spans="1:25">
      <c r="A117" s="312"/>
      <c r="B117" s="312"/>
      <c r="C117" s="312"/>
      <c r="D117" s="312"/>
      <c r="E117" s="312"/>
      <c r="F117" s="312"/>
      <c r="G117" s="312"/>
      <c r="H117" s="312"/>
      <c r="I117" s="312"/>
      <c r="J117" s="312"/>
      <c r="K117" s="312"/>
      <c r="L117" s="312"/>
      <c r="M117" s="312"/>
      <c r="N117" s="312"/>
      <c r="O117" s="312"/>
      <c r="P117" s="312"/>
      <c r="Q117" s="312"/>
      <c r="R117" s="312"/>
      <c r="S117" s="312"/>
      <c r="T117" s="312"/>
      <c r="U117" s="312"/>
      <c r="V117" s="312"/>
      <c r="W117" s="312"/>
      <c r="X117" s="312"/>
      <c r="Y117" s="312"/>
    </row>
    <row r="118" ht="18.75" spans="1:25">
      <c r="A118" s="312"/>
      <c r="B118" s="312"/>
      <c r="C118" s="312"/>
      <c r="D118" s="312"/>
      <c r="E118" s="312"/>
      <c r="F118" s="312"/>
      <c r="G118" s="312"/>
      <c r="H118" s="312"/>
      <c r="I118" s="312"/>
      <c r="J118" s="312"/>
      <c r="K118" s="312"/>
      <c r="L118" s="312"/>
      <c r="M118" s="312"/>
      <c r="N118" s="312"/>
      <c r="O118" s="312"/>
      <c r="P118" s="312"/>
      <c r="Q118" s="312"/>
      <c r="R118" s="312"/>
      <c r="S118" s="312"/>
      <c r="T118" s="312"/>
      <c r="U118" s="312"/>
      <c r="V118" s="312"/>
      <c r="W118" s="312"/>
      <c r="X118" s="312"/>
      <c r="Y118" s="312"/>
    </row>
    <row r="119" ht="18.75" spans="1:25">
      <c r="A119" s="312"/>
      <c r="B119" s="312"/>
      <c r="C119" s="312"/>
      <c r="D119" s="312"/>
      <c r="E119" s="312"/>
      <c r="F119" s="312"/>
      <c r="G119" s="312"/>
      <c r="H119" s="312"/>
      <c r="I119" s="312"/>
      <c r="J119" s="312"/>
      <c r="K119" s="312"/>
      <c r="L119" s="312"/>
      <c r="M119" s="312"/>
      <c r="N119" s="312"/>
      <c r="O119" s="312"/>
      <c r="P119" s="312"/>
      <c r="Q119" s="312"/>
      <c r="R119" s="312"/>
      <c r="S119" s="312"/>
      <c r="T119" s="312"/>
      <c r="U119" s="312"/>
      <c r="V119" s="312"/>
      <c r="W119" s="312"/>
      <c r="X119" s="312"/>
      <c r="Y119" s="312"/>
    </row>
    <row r="120" ht="18.75" spans="1:25">
      <c r="A120" s="312"/>
      <c r="B120" s="312"/>
      <c r="C120" s="312"/>
      <c r="D120" s="312"/>
      <c r="E120" s="312"/>
      <c r="F120" s="312"/>
      <c r="G120" s="312"/>
      <c r="H120" s="312"/>
      <c r="I120" s="312"/>
      <c r="J120" s="312"/>
      <c r="K120" s="312"/>
      <c r="L120" s="312"/>
      <c r="M120" s="312"/>
      <c r="N120" s="312"/>
      <c r="O120" s="312"/>
      <c r="P120" s="312"/>
      <c r="Q120" s="312"/>
      <c r="R120" s="312"/>
      <c r="S120" s="312"/>
      <c r="T120" s="312"/>
      <c r="U120" s="312"/>
      <c r="V120" s="312"/>
      <c r="W120" s="312"/>
      <c r="X120" s="312"/>
      <c r="Y120" s="312"/>
    </row>
    <row r="121" ht="18.75" spans="1:25">
      <c r="A121" s="312"/>
      <c r="B121" s="312"/>
      <c r="C121" s="312"/>
      <c r="D121" s="312"/>
      <c r="E121" s="312"/>
      <c r="F121" s="312"/>
      <c r="G121" s="312"/>
      <c r="H121" s="312"/>
      <c r="I121" s="312"/>
      <c r="J121" s="312"/>
      <c r="K121" s="312"/>
      <c r="L121" s="312"/>
      <c r="M121" s="312"/>
      <c r="N121" s="312"/>
      <c r="O121" s="312"/>
      <c r="P121" s="312"/>
      <c r="Q121" s="312"/>
      <c r="R121" s="312"/>
      <c r="S121" s="312"/>
      <c r="T121" s="312"/>
      <c r="U121" s="312"/>
      <c r="V121" s="312"/>
      <c r="W121" s="312"/>
      <c r="X121" s="312"/>
      <c r="Y121" s="312"/>
    </row>
    <row r="122" ht="18.75" spans="1:25">
      <c r="A122" s="312"/>
      <c r="B122" s="312"/>
      <c r="C122" s="312"/>
      <c r="D122" s="312"/>
      <c r="E122" s="312"/>
      <c r="F122" s="312"/>
      <c r="G122" s="312"/>
      <c r="H122" s="312"/>
      <c r="I122" s="312"/>
      <c r="J122" s="312"/>
      <c r="K122" s="312"/>
      <c r="L122" s="312"/>
      <c r="M122" s="312"/>
      <c r="N122" s="312"/>
      <c r="O122" s="312"/>
      <c r="P122" s="312"/>
      <c r="Q122" s="312"/>
      <c r="R122" s="312"/>
      <c r="S122" s="312"/>
      <c r="T122" s="312"/>
      <c r="U122" s="312"/>
      <c r="V122" s="312"/>
      <c r="W122" s="312"/>
      <c r="X122" s="312"/>
      <c r="Y122" s="312"/>
    </row>
    <row r="123" ht="18.75" spans="1:25">
      <c r="A123" s="312"/>
      <c r="B123" s="312"/>
      <c r="C123" s="312"/>
      <c r="D123" s="312"/>
      <c r="E123" s="312"/>
      <c r="F123" s="312"/>
      <c r="G123" s="312"/>
      <c r="H123" s="312"/>
      <c r="I123" s="312"/>
      <c r="J123" s="312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2"/>
      <c r="X123" s="312"/>
      <c r="Y123" s="312"/>
    </row>
    <row r="124" ht="18.75" spans="1:25">
      <c r="A124" s="312"/>
      <c r="B124" s="312"/>
      <c r="C124" s="312"/>
      <c r="D124" s="312"/>
      <c r="E124" s="312"/>
      <c r="F124" s="312"/>
      <c r="G124" s="312"/>
      <c r="H124" s="312"/>
      <c r="I124" s="312"/>
      <c r="J124" s="312"/>
      <c r="K124" s="312"/>
      <c r="L124" s="312"/>
      <c r="M124" s="312"/>
      <c r="N124" s="312"/>
      <c r="O124" s="312"/>
      <c r="P124" s="312"/>
      <c r="Q124" s="312"/>
      <c r="R124" s="312"/>
      <c r="S124" s="312"/>
      <c r="T124" s="312"/>
      <c r="U124" s="312"/>
      <c r="V124" s="312"/>
      <c r="W124" s="312"/>
      <c r="X124" s="312"/>
      <c r="Y124" s="312"/>
    </row>
    <row r="125" ht="18.75" spans="1:25">
      <c r="A125" s="312"/>
      <c r="B125" s="312"/>
      <c r="C125" s="312"/>
      <c r="D125" s="312"/>
      <c r="E125" s="312"/>
      <c r="F125" s="312"/>
      <c r="G125" s="312"/>
      <c r="H125" s="312"/>
      <c r="I125" s="312"/>
      <c r="J125" s="312"/>
      <c r="K125" s="312"/>
      <c r="L125" s="312"/>
      <c r="M125" s="312"/>
      <c r="N125" s="312"/>
      <c r="O125" s="312"/>
      <c r="P125" s="312"/>
      <c r="Q125" s="312"/>
      <c r="R125" s="312"/>
      <c r="S125" s="312"/>
      <c r="T125" s="312"/>
      <c r="U125" s="312"/>
      <c r="V125" s="312"/>
      <c r="W125" s="312"/>
      <c r="X125" s="312"/>
      <c r="Y125" s="312"/>
    </row>
    <row r="126" ht="18.75" spans="1:25">
      <c r="A126" s="312"/>
      <c r="B126" s="312"/>
      <c r="C126" s="312"/>
      <c r="D126" s="312"/>
      <c r="E126" s="312"/>
      <c r="F126" s="312"/>
      <c r="G126" s="312"/>
      <c r="H126" s="312"/>
      <c r="I126" s="312"/>
      <c r="J126" s="312"/>
      <c r="K126" s="312"/>
      <c r="L126" s="312"/>
      <c r="M126" s="312"/>
      <c r="N126" s="312"/>
      <c r="O126" s="312"/>
      <c r="P126" s="312"/>
      <c r="Q126" s="312"/>
      <c r="R126" s="312"/>
      <c r="S126" s="312"/>
      <c r="T126" s="312"/>
      <c r="U126" s="312"/>
      <c r="V126" s="312"/>
      <c r="W126" s="312"/>
      <c r="X126" s="312"/>
      <c r="Y126" s="312"/>
    </row>
    <row r="127" ht="18.75" spans="1:25">
      <c r="A127" s="312"/>
      <c r="B127" s="312"/>
      <c r="C127" s="312"/>
      <c r="D127" s="312"/>
      <c r="E127" s="312"/>
      <c r="F127" s="312"/>
      <c r="G127" s="312"/>
      <c r="H127" s="312"/>
      <c r="I127" s="312"/>
      <c r="J127" s="312"/>
      <c r="K127" s="312"/>
      <c r="L127" s="312"/>
      <c r="M127" s="312"/>
      <c r="N127" s="312"/>
      <c r="O127" s="312"/>
      <c r="P127" s="312"/>
      <c r="Q127" s="312"/>
      <c r="R127" s="312"/>
      <c r="S127" s="312"/>
      <c r="T127" s="312"/>
      <c r="U127" s="312"/>
      <c r="V127" s="312"/>
      <c r="W127" s="312"/>
      <c r="X127" s="312"/>
      <c r="Y127" s="312"/>
    </row>
    <row r="128" ht="18.75" spans="1:25">
      <c r="A128" s="312"/>
      <c r="B128" s="312"/>
      <c r="C128" s="312"/>
      <c r="D128" s="312"/>
      <c r="E128" s="312"/>
      <c r="F128" s="312"/>
      <c r="G128" s="312"/>
      <c r="H128" s="312"/>
      <c r="I128" s="312"/>
      <c r="J128" s="312"/>
      <c r="K128" s="312"/>
      <c r="L128" s="312"/>
      <c r="M128" s="312"/>
      <c r="N128" s="312"/>
      <c r="O128" s="312"/>
      <c r="P128" s="312"/>
      <c r="Q128" s="312"/>
      <c r="R128" s="312"/>
      <c r="S128" s="312"/>
      <c r="T128" s="312"/>
      <c r="U128" s="312"/>
      <c r="V128" s="312"/>
      <c r="W128" s="312"/>
      <c r="X128" s="312"/>
      <c r="Y128" s="312"/>
    </row>
    <row r="129" ht="18.75" spans="1:25">
      <c r="A129" s="312"/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2"/>
      <c r="M129" s="312"/>
      <c r="N129" s="312"/>
      <c r="O129" s="312"/>
      <c r="P129" s="312"/>
      <c r="Q129" s="312"/>
      <c r="R129" s="312"/>
      <c r="S129" s="312"/>
      <c r="T129" s="312"/>
      <c r="U129" s="312"/>
      <c r="V129" s="312"/>
      <c r="W129" s="312"/>
      <c r="X129" s="312"/>
      <c r="Y129" s="312"/>
    </row>
    <row r="130" ht="18.75" spans="1:25">
      <c r="A130" s="312"/>
      <c r="B130" s="312"/>
      <c r="C130" s="312"/>
      <c r="D130" s="312"/>
      <c r="E130" s="312"/>
      <c r="F130" s="312"/>
      <c r="G130" s="312"/>
      <c r="H130" s="312"/>
      <c r="I130" s="312"/>
      <c r="J130" s="312"/>
      <c r="K130" s="312"/>
      <c r="L130" s="312"/>
      <c r="M130" s="312"/>
      <c r="N130" s="312"/>
      <c r="O130" s="312"/>
      <c r="P130" s="312"/>
      <c r="Q130" s="312"/>
      <c r="R130" s="312"/>
      <c r="S130" s="312"/>
      <c r="T130" s="312"/>
      <c r="U130" s="312"/>
      <c r="V130" s="312"/>
      <c r="W130" s="312"/>
      <c r="X130" s="312"/>
      <c r="Y130" s="312"/>
    </row>
    <row r="131" ht="18.75" spans="1:25">
      <c r="A131" s="312"/>
      <c r="B131" s="312"/>
      <c r="C131" s="312"/>
      <c r="D131" s="312"/>
      <c r="E131" s="312"/>
      <c r="F131" s="312"/>
      <c r="G131" s="312"/>
      <c r="H131" s="312"/>
      <c r="I131" s="312"/>
      <c r="J131" s="312"/>
      <c r="K131" s="312"/>
      <c r="L131" s="312"/>
      <c r="M131" s="312"/>
      <c r="N131" s="312"/>
      <c r="O131" s="312"/>
      <c r="P131" s="312"/>
      <c r="Q131" s="312"/>
      <c r="R131" s="312"/>
      <c r="S131" s="312"/>
      <c r="T131" s="312"/>
      <c r="U131" s="312"/>
      <c r="V131" s="312"/>
      <c r="W131" s="312"/>
      <c r="X131" s="312"/>
      <c r="Y131" s="312"/>
    </row>
    <row r="132" ht="18.75" spans="1:25">
      <c r="A132" s="312"/>
      <c r="B132" s="312"/>
      <c r="C132" s="312"/>
      <c r="D132" s="312"/>
      <c r="E132" s="312"/>
      <c r="F132" s="312"/>
      <c r="G132" s="312"/>
      <c r="H132" s="312"/>
      <c r="I132" s="312"/>
      <c r="J132" s="312"/>
      <c r="K132" s="312"/>
      <c r="L132" s="312"/>
      <c r="M132" s="312"/>
      <c r="N132" s="312"/>
      <c r="O132" s="312"/>
      <c r="P132" s="312"/>
      <c r="Q132" s="312"/>
      <c r="R132" s="312"/>
      <c r="S132" s="312"/>
      <c r="T132" s="312"/>
      <c r="U132" s="312"/>
      <c r="V132" s="312"/>
      <c r="W132" s="312"/>
      <c r="X132" s="312"/>
      <c r="Y132" s="312"/>
    </row>
    <row r="133" ht="18.75" spans="1:25">
      <c r="A133" s="312"/>
      <c r="B133" s="312"/>
      <c r="C133" s="312"/>
      <c r="D133" s="312"/>
      <c r="E133" s="312"/>
      <c r="F133" s="312"/>
      <c r="G133" s="312"/>
      <c r="H133" s="312"/>
      <c r="I133" s="312"/>
      <c r="J133" s="312"/>
      <c r="K133" s="312"/>
      <c r="L133" s="312"/>
      <c r="M133" s="312"/>
      <c r="N133" s="312"/>
      <c r="O133" s="312"/>
      <c r="P133" s="312"/>
      <c r="Q133" s="312"/>
      <c r="R133" s="312"/>
      <c r="S133" s="312"/>
      <c r="T133" s="312"/>
      <c r="U133" s="312"/>
      <c r="V133" s="312"/>
      <c r="W133" s="312"/>
      <c r="X133" s="312"/>
      <c r="Y133" s="312"/>
    </row>
    <row r="134" ht="18.75" spans="1:25">
      <c r="A134" s="312"/>
      <c r="B134" s="312"/>
      <c r="C134" s="312"/>
      <c r="D134" s="312"/>
      <c r="E134" s="312"/>
      <c r="F134" s="312"/>
      <c r="G134" s="312"/>
      <c r="H134" s="312"/>
      <c r="I134" s="312"/>
      <c r="J134" s="312"/>
      <c r="K134" s="312"/>
      <c r="L134" s="312"/>
      <c r="M134" s="312"/>
      <c r="N134" s="312"/>
      <c r="O134" s="312"/>
      <c r="P134" s="312"/>
      <c r="Q134" s="312"/>
      <c r="R134" s="312"/>
      <c r="S134" s="312"/>
      <c r="T134" s="312"/>
      <c r="U134" s="312"/>
      <c r="V134" s="312"/>
      <c r="W134" s="312"/>
      <c r="X134" s="312"/>
      <c r="Y134" s="312"/>
    </row>
    <row r="135" ht="18.75" spans="1:25">
      <c r="A135" s="312"/>
      <c r="B135" s="312"/>
      <c r="C135" s="312"/>
      <c r="D135" s="312"/>
      <c r="E135" s="312"/>
      <c r="F135" s="312"/>
      <c r="G135" s="312"/>
      <c r="H135" s="312"/>
      <c r="I135" s="312"/>
      <c r="J135" s="312"/>
      <c r="K135" s="312"/>
      <c r="L135" s="312"/>
      <c r="M135" s="312"/>
      <c r="N135" s="312"/>
      <c r="O135" s="312"/>
      <c r="P135" s="312"/>
      <c r="Q135" s="312"/>
      <c r="R135" s="312"/>
      <c r="S135" s="312"/>
      <c r="T135" s="312"/>
      <c r="U135" s="312"/>
      <c r="V135" s="312"/>
      <c r="W135" s="312"/>
      <c r="X135" s="312"/>
      <c r="Y135" s="312"/>
    </row>
    <row r="136" ht="18.75" spans="1:25">
      <c r="A136" s="312"/>
      <c r="B136" s="312"/>
      <c r="C136" s="312"/>
      <c r="D136" s="312"/>
      <c r="E136" s="312"/>
      <c r="F136" s="312"/>
      <c r="G136" s="312"/>
      <c r="H136" s="312"/>
      <c r="I136" s="312"/>
      <c r="J136" s="312"/>
      <c r="K136" s="312"/>
      <c r="L136" s="312"/>
      <c r="M136" s="312"/>
      <c r="N136" s="312"/>
      <c r="O136" s="312"/>
      <c r="P136" s="312"/>
      <c r="Q136" s="312"/>
      <c r="R136" s="312"/>
      <c r="S136" s="312"/>
      <c r="T136" s="312"/>
      <c r="U136" s="312"/>
      <c r="V136" s="312"/>
      <c r="W136" s="312"/>
      <c r="X136" s="312"/>
      <c r="Y136" s="312"/>
    </row>
    <row r="137" ht="18.75" spans="1:25">
      <c r="A137" s="312"/>
      <c r="B137" s="312"/>
      <c r="C137" s="312"/>
      <c r="D137" s="312"/>
      <c r="E137" s="312"/>
      <c r="F137" s="312"/>
      <c r="G137" s="312"/>
      <c r="H137" s="312"/>
      <c r="I137" s="312"/>
      <c r="J137" s="312"/>
      <c r="K137" s="312"/>
      <c r="L137" s="312"/>
      <c r="M137" s="312"/>
      <c r="N137" s="312"/>
      <c r="O137" s="312"/>
      <c r="P137" s="312"/>
      <c r="Q137" s="312"/>
      <c r="R137" s="312"/>
      <c r="S137" s="312"/>
      <c r="T137" s="312"/>
      <c r="U137" s="312"/>
      <c r="V137" s="312"/>
      <c r="W137" s="312"/>
      <c r="X137" s="312"/>
      <c r="Y137" s="312"/>
    </row>
    <row r="138" ht="18.75" spans="1:25">
      <c r="A138" s="312"/>
      <c r="B138" s="312"/>
      <c r="C138" s="312"/>
      <c r="D138" s="312"/>
      <c r="E138" s="312"/>
      <c r="F138" s="312"/>
      <c r="G138" s="312"/>
      <c r="H138" s="312"/>
      <c r="I138" s="312"/>
      <c r="J138" s="312"/>
      <c r="K138" s="312"/>
      <c r="L138" s="312"/>
      <c r="M138" s="312"/>
      <c r="N138" s="312"/>
      <c r="O138" s="312"/>
      <c r="P138" s="312"/>
      <c r="Q138" s="312"/>
      <c r="R138" s="312"/>
      <c r="S138" s="312"/>
      <c r="T138" s="312"/>
      <c r="U138" s="312"/>
      <c r="V138" s="312"/>
      <c r="W138" s="312"/>
      <c r="X138" s="312"/>
      <c r="Y138" s="312"/>
    </row>
    <row r="139" ht="18.75" spans="1:25">
      <c r="A139" s="312"/>
      <c r="B139" s="312"/>
      <c r="C139" s="312"/>
      <c r="D139" s="312"/>
      <c r="E139" s="312"/>
      <c r="F139" s="312"/>
      <c r="G139" s="312"/>
      <c r="H139" s="312"/>
      <c r="I139" s="312"/>
      <c r="J139" s="312"/>
      <c r="K139" s="312"/>
      <c r="L139" s="312"/>
      <c r="M139" s="312"/>
      <c r="N139" s="312"/>
      <c r="O139" s="312"/>
      <c r="P139" s="312"/>
      <c r="Q139" s="312"/>
      <c r="R139" s="312"/>
      <c r="S139" s="312"/>
      <c r="T139" s="312"/>
      <c r="U139" s="312"/>
      <c r="V139" s="312"/>
      <c r="W139" s="312"/>
      <c r="X139" s="312"/>
      <c r="Y139" s="312"/>
    </row>
    <row r="140" ht="18.75" spans="1:25">
      <c r="A140" s="312"/>
      <c r="B140" s="312"/>
      <c r="C140" s="312"/>
      <c r="D140" s="312"/>
      <c r="E140" s="312"/>
      <c r="F140" s="312"/>
      <c r="G140" s="312"/>
      <c r="H140" s="312"/>
      <c r="I140" s="312"/>
      <c r="J140" s="312"/>
      <c r="K140" s="312"/>
      <c r="L140" s="312"/>
      <c r="M140" s="312"/>
      <c r="N140" s="312"/>
      <c r="O140" s="312"/>
      <c r="P140" s="312"/>
      <c r="Q140" s="312"/>
      <c r="R140" s="312"/>
      <c r="S140" s="312"/>
      <c r="T140" s="312"/>
      <c r="U140" s="312"/>
      <c r="V140" s="312"/>
      <c r="W140" s="312"/>
      <c r="X140" s="312"/>
      <c r="Y140" s="312"/>
    </row>
    <row r="141" ht="18.75" spans="1:25">
      <c r="A141" s="312"/>
      <c r="B141" s="312"/>
      <c r="C141" s="312"/>
      <c r="D141" s="312"/>
      <c r="E141" s="312"/>
      <c r="F141" s="312"/>
      <c r="G141" s="312"/>
      <c r="H141" s="312"/>
      <c r="I141" s="312"/>
      <c r="J141" s="312"/>
      <c r="K141" s="312"/>
      <c r="L141" s="312"/>
      <c r="M141" s="312"/>
      <c r="N141" s="312"/>
      <c r="O141" s="312"/>
      <c r="P141" s="312"/>
      <c r="Q141" s="312"/>
      <c r="R141" s="312"/>
      <c r="S141" s="312"/>
      <c r="T141" s="312"/>
      <c r="U141" s="312"/>
      <c r="V141" s="312"/>
      <c r="W141" s="312"/>
      <c r="X141" s="312"/>
      <c r="Y141" s="312"/>
    </row>
    <row r="142" ht="18.75" spans="1:25">
      <c r="A142" s="312"/>
      <c r="B142" s="312"/>
      <c r="C142" s="312"/>
      <c r="D142" s="312"/>
      <c r="E142" s="312"/>
      <c r="F142" s="312"/>
      <c r="G142" s="312"/>
      <c r="H142" s="312"/>
      <c r="I142" s="312"/>
      <c r="J142" s="312"/>
      <c r="K142" s="312"/>
      <c r="L142" s="312"/>
      <c r="M142" s="312"/>
      <c r="N142" s="312"/>
      <c r="O142" s="312"/>
      <c r="P142" s="312"/>
      <c r="Q142" s="312"/>
      <c r="R142" s="312"/>
      <c r="S142" s="312"/>
      <c r="T142" s="312"/>
      <c r="U142" s="312"/>
      <c r="V142" s="312"/>
      <c r="W142" s="312"/>
      <c r="X142" s="312"/>
      <c r="Y142" s="312"/>
    </row>
    <row r="143" ht="18.75" spans="1:25">
      <c r="A143" s="312"/>
      <c r="B143" s="312"/>
      <c r="C143" s="312"/>
      <c r="D143" s="312"/>
      <c r="E143" s="312"/>
      <c r="F143" s="312"/>
      <c r="G143" s="312"/>
      <c r="H143" s="312"/>
      <c r="I143" s="312"/>
      <c r="J143" s="312"/>
      <c r="K143" s="312"/>
      <c r="L143" s="312"/>
      <c r="M143" s="312"/>
      <c r="N143" s="312"/>
      <c r="O143" s="312"/>
      <c r="P143" s="312"/>
      <c r="Q143" s="312"/>
      <c r="R143" s="312"/>
      <c r="S143" s="312"/>
      <c r="T143" s="312"/>
      <c r="U143" s="312"/>
      <c r="V143" s="312"/>
      <c r="W143" s="312"/>
      <c r="X143" s="312"/>
      <c r="Y143" s="312"/>
    </row>
    <row r="144" ht="18.75" spans="1:25">
      <c r="A144" s="312"/>
      <c r="B144" s="312"/>
      <c r="C144" s="312"/>
      <c r="D144" s="312"/>
      <c r="E144" s="312"/>
      <c r="F144" s="312"/>
      <c r="G144" s="312"/>
      <c r="H144" s="312"/>
      <c r="I144" s="312"/>
      <c r="J144" s="312"/>
      <c r="K144" s="312"/>
      <c r="L144" s="312"/>
      <c r="M144" s="312"/>
      <c r="N144" s="312"/>
      <c r="O144" s="312"/>
      <c r="P144" s="312"/>
      <c r="Q144" s="312"/>
      <c r="R144" s="312"/>
      <c r="S144" s="312"/>
      <c r="T144" s="312"/>
      <c r="U144" s="312"/>
      <c r="V144" s="312"/>
      <c r="W144" s="312"/>
      <c r="X144" s="312"/>
      <c r="Y144" s="312"/>
    </row>
    <row r="145" ht="18.75" spans="1:25">
      <c r="A145" s="312"/>
      <c r="B145" s="312"/>
      <c r="C145" s="312"/>
      <c r="D145" s="312"/>
      <c r="E145" s="312"/>
      <c r="F145" s="312"/>
      <c r="G145" s="312"/>
      <c r="H145" s="312"/>
      <c r="I145" s="312"/>
      <c r="J145" s="312"/>
      <c r="K145" s="312"/>
      <c r="L145" s="312"/>
      <c r="M145" s="312"/>
      <c r="N145" s="312"/>
      <c r="O145" s="312"/>
      <c r="P145" s="312"/>
      <c r="Q145" s="312"/>
      <c r="R145" s="312"/>
      <c r="S145" s="312"/>
      <c r="T145" s="312"/>
      <c r="U145" s="312"/>
      <c r="V145" s="312"/>
      <c r="W145" s="312"/>
      <c r="X145" s="312"/>
      <c r="Y145" s="312"/>
    </row>
    <row r="146" ht="18.75" spans="1:25">
      <c r="A146" s="312"/>
      <c r="B146" s="312"/>
      <c r="C146" s="312"/>
      <c r="D146" s="312"/>
      <c r="E146" s="312"/>
      <c r="F146" s="312"/>
      <c r="G146" s="312"/>
      <c r="H146" s="312"/>
      <c r="I146" s="312"/>
      <c r="J146" s="312"/>
      <c r="K146" s="312"/>
      <c r="L146" s="312"/>
      <c r="M146" s="312"/>
      <c r="N146" s="312"/>
      <c r="O146" s="312"/>
      <c r="P146" s="312"/>
      <c r="Q146" s="312"/>
      <c r="R146" s="312"/>
      <c r="S146" s="312"/>
      <c r="T146" s="312"/>
      <c r="U146" s="312"/>
      <c r="V146" s="312"/>
      <c r="W146" s="312"/>
      <c r="X146" s="312"/>
      <c r="Y146" s="312"/>
    </row>
    <row r="147" ht="18.75" spans="1:25">
      <c r="A147" s="312"/>
      <c r="B147" s="312"/>
      <c r="C147" s="312"/>
      <c r="D147" s="312"/>
      <c r="E147" s="312"/>
      <c r="F147" s="312"/>
      <c r="G147" s="312"/>
      <c r="H147" s="312"/>
      <c r="I147" s="312"/>
      <c r="J147" s="312"/>
      <c r="K147" s="312"/>
      <c r="L147" s="312"/>
      <c r="M147" s="312"/>
      <c r="N147" s="312"/>
      <c r="O147" s="312"/>
      <c r="P147" s="312"/>
      <c r="Q147" s="312"/>
      <c r="R147" s="312"/>
      <c r="S147" s="312"/>
      <c r="T147" s="312"/>
      <c r="U147" s="312"/>
      <c r="V147" s="312"/>
      <c r="W147" s="312"/>
      <c r="X147" s="312"/>
      <c r="Y147" s="312"/>
    </row>
    <row r="148" ht="18.75" spans="1:25">
      <c r="A148" s="312"/>
      <c r="B148" s="312"/>
      <c r="C148" s="312"/>
      <c r="D148" s="312"/>
      <c r="E148" s="312"/>
      <c r="F148" s="312"/>
      <c r="G148" s="312"/>
      <c r="H148" s="312"/>
      <c r="I148" s="312"/>
      <c r="J148" s="312"/>
      <c r="K148" s="312"/>
      <c r="L148" s="312"/>
      <c r="M148" s="312"/>
      <c r="N148" s="312"/>
      <c r="O148" s="312"/>
      <c r="P148" s="312"/>
      <c r="Q148" s="312"/>
      <c r="R148" s="312"/>
      <c r="S148" s="312"/>
      <c r="T148" s="312"/>
      <c r="U148" s="312"/>
      <c r="V148" s="312"/>
      <c r="W148" s="312"/>
      <c r="X148" s="312"/>
      <c r="Y148" s="312"/>
    </row>
    <row r="149" ht="18.75" spans="1:25">
      <c r="A149" s="312"/>
      <c r="B149" s="312"/>
      <c r="C149" s="312"/>
      <c r="D149" s="312"/>
      <c r="E149" s="312"/>
      <c r="F149" s="312"/>
      <c r="G149" s="312"/>
      <c r="H149" s="312"/>
      <c r="I149" s="312"/>
      <c r="J149" s="312"/>
      <c r="K149" s="312"/>
      <c r="L149" s="312"/>
      <c r="M149" s="312"/>
      <c r="N149" s="312"/>
      <c r="O149" s="312"/>
      <c r="P149" s="312"/>
      <c r="Q149" s="312"/>
      <c r="R149" s="312"/>
      <c r="S149" s="312"/>
      <c r="T149" s="312"/>
      <c r="U149" s="312"/>
      <c r="V149" s="312"/>
      <c r="W149" s="312"/>
      <c r="X149" s="312"/>
      <c r="Y149" s="312"/>
    </row>
    <row r="150" ht="18.75" spans="1:25">
      <c r="A150" s="312"/>
      <c r="B150" s="312"/>
      <c r="C150" s="312"/>
      <c r="D150" s="312"/>
      <c r="E150" s="312"/>
      <c r="F150" s="312"/>
      <c r="G150" s="312"/>
      <c r="H150" s="312"/>
      <c r="I150" s="312"/>
      <c r="J150" s="312"/>
      <c r="K150" s="312"/>
      <c r="L150" s="312"/>
      <c r="M150" s="312"/>
      <c r="N150" s="312"/>
      <c r="O150" s="312"/>
      <c r="P150" s="312"/>
      <c r="Q150" s="312"/>
      <c r="R150" s="312"/>
      <c r="S150" s="312"/>
      <c r="T150" s="312"/>
      <c r="U150" s="312"/>
      <c r="V150" s="312"/>
      <c r="W150" s="312"/>
      <c r="X150" s="312"/>
      <c r="Y150" s="312"/>
    </row>
    <row r="151" ht="18.75" spans="1:25">
      <c r="A151" s="312"/>
      <c r="B151" s="312"/>
      <c r="C151" s="312"/>
      <c r="D151" s="312"/>
      <c r="E151" s="312"/>
      <c r="F151" s="312"/>
      <c r="G151" s="312"/>
      <c r="H151" s="312"/>
      <c r="I151" s="312"/>
      <c r="J151" s="312"/>
      <c r="K151" s="312"/>
      <c r="L151" s="312"/>
      <c r="M151" s="312"/>
      <c r="N151" s="312"/>
      <c r="O151" s="312"/>
      <c r="P151" s="312"/>
      <c r="Q151" s="312"/>
      <c r="R151" s="312"/>
      <c r="S151" s="312"/>
      <c r="T151" s="312"/>
      <c r="U151" s="312"/>
      <c r="V151" s="312"/>
      <c r="W151" s="312"/>
      <c r="X151" s="312"/>
      <c r="Y151" s="312"/>
    </row>
    <row r="152" ht="18.75" spans="1:25">
      <c r="A152" s="312"/>
      <c r="B152" s="312"/>
      <c r="C152" s="312"/>
      <c r="D152" s="312"/>
      <c r="E152" s="312"/>
      <c r="F152" s="312"/>
      <c r="G152" s="312"/>
      <c r="H152" s="312"/>
      <c r="I152" s="312"/>
      <c r="J152" s="312"/>
      <c r="K152" s="312"/>
      <c r="L152" s="312"/>
      <c r="M152" s="312"/>
      <c r="N152" s="312"/>
      <c r="O152" s="312"/>
      <c r="P152" s="312"/>
      <c r="Q152" s="312"/>
      <c r="R152" s="312"/>
      <c r="S152" s="312"/>
      <c r="T152" s="312"/>
      <c r="U152" s="312"/>
      <c r="V152" s="312"/>
      <c r="W152" s="312"/>
      <c r="X152" s="312"/>
      <c r="Y152" s="312"/>
    </row>
    <row r="153" ht="18.75" spans="1:25">
      <c r="A153" s="312"/>
      <c r="B153" s="312"/>
      <c r="C153" s="312"/>
      <c r="D153" s="312"/>
      <c r="E153" s="312"/>
      <c r="F153" s="312"/>
      <c r="G153" s="312"/>
      <c r="H153" s="312"/>
      <c r="I153" s="312"/>
      <c r="J153" s="312"/>
      <c r="K153" s="312"/>
      <c r="L153" s="312"/>
      <c r="M153" s="312"/>
      <c r="N153" s="312"/>
      <c r="O153" s="312"/>
      <c r="P153" s="312"/>
      <c r="Q153" s="312"/>
      <c r="R153" s="312"/>
      <c r="S153" s="312"/>
      <c r="T153" s="312"/>
      <c r="U153" s="312"/>
      <c r="V153" s="312"/>
      <c r="W153" s="312"/>
      <c r="X153" s="312"/>
      <c r="Y153" s="312"/>
    </row>
    <row r="154" ht="18.75" spans="1:25">
      <c r="A154" s="312"/>
      <c r="B154" s="312"/>
      <c r="C154" s="312"/>
      <c r="D154" s="312"/>
      <c r="E154" s="312"/>
      <c r="F154" s="312"/>
      <c r="G154" s="312"/>
      <c r="H154" s="312"/>
      <c r="I154" s="312"/>
      <c r="J154" s="312"/>
      <c r="K154" s="312"/>
      <c r="L154" s="312"/>
      <c r="M154" s="312"/>
      <c r="N154" s="312"/>
      <c r="O154" s="312"/>
      <c r="P154" s="312"/>
      <c r="Q154" s="312"/>
      <c r="R154" s="312"/>
      <c r="S154" s="312"/>
      <c r="T154" s="312"/>
      <c r="U154" s="312"/>
      <c r="V154" s="312"/>
      <c r="W154" s="312"/>
      <c r="X154" s="312"/>
      <c r="Y154" s="312"/>
    </row>
    <row r="155" ht="18.75" spans="1:25">
      <c r="A155" s="312"/>
      <c r="B155" s="312"/>
      <c r="C155" s="312"/>
      <c r="D155" s="312"/>
      <c r="E155" s="312"/>
      <c r="F155" s="312"/>
      <c r="G155" s="312"/>
      <c r="H155" s="312"/>
      <c r="I155" s="312"/>
      <c r="J155" s="312"/>
      <c r="K155" s="312"/>
      <c r="L155" s="312"/>
      <c r="M155" s="312"/>
      <c r="N155" s="312"/>
      <c r="O155" s="312"/>
      <c r="P155" s="312"/>
      <c r="Q155" s="312"/>
      <c r="R155" s="312"/>
      <c r="S155" s="312"/>
      <c r="T155" s="312"/>
      <c r="U155" s="312"/>
      <c r="V155" s="312"/>
      <c r="W155" s="312"/>
      <c r="X155" s="312"/>
      <c r="Y155" s="312"/>
    </row>
    <row r="156" ht="18.75" spans="1:25">
      <c r="A156" s="312"/>
      <c r="B156" s="312"/>
      <c r="C156" s="312"/>
      <c r="D156" s="312"/>
      <c r="E156" s="312"/>
      <c r="F156" s="312"/>
      <c r="G156" s="312"/>
      <c r="H156" s="312"/>
      <c r="I156" s="312"/>
      <c r="J156" s="312"/>
      <c r="K156" s="312"/>
      <c r="L156" s="312"/>
      <c r="M156" s="312"/>
      <c r="N156" s="312"/>
      <c r="O156" s="312"/>
      <c r="P156" s="312"/>
      <c r="Q156" s="312"/>
      <c r="R156" s="312"/>
      <c r="S156" s="312"/>
      <c r="T156" s="312"/>
      <c r="U156" s="312"/>
      <c r="V156" s="312"/>
      <c r="W156" s="312"/>
      <c r="X156" s="312"/>
      <c r="Y156" s="312"/>
    </row>
    <row r="157" ht="18.75" spans="1:25">
      <c r="A157" s="312"/>
      <c r="B157" s="312"/>
      <c r="C157" s="312"/>
      <c r="D157" s="312"/>
      <c r="E157" s="312"/>
      <c r="F157" s="312"/>
      <c r="G157" s="312"/>
      <c r="H157" s="312"/>
      <c r="I157" s="312"/>
      <c r="J157" s="312"/>
      <c r="K157" s="312"/>
      <c r="L157" s="312"/>
      <c r="M157" s="312"/>
      <c r="N157" s="312"/>
      <c r="O157" s="312"/>
      <c r="P157" s="312"/>
      <c r="Q157" s="312"/>
      <c r="R157" s="312"/>
      <c r="S157" s="312"/>
      <c r="T157" s="312"/>
      <c r="U157" s="312"/>
      <c r="V157" s="312"/>
      <c r="W157" s="312"/>
      <c r="X157" s="312"/>
      <c r="Y157" s="312"/>
    </row>
    <row r="158" ht="18.75" spans="1:25">
      <c r="A158" s="312"/>
      <c r="B158" s="312"/>
      <c r="C158" s="312"/>
      <c r="D158" s="312"/>
      <c r="E158" s="312"/>
      <c r="F158" s="312"/>
      <c r="G158" s="312"/>
      <c r="H158" s="312"/>
      <c r="I158" s="312"/>
      <c r="J158" s="312"/>
      <c r="K158" s="312"/>
      <c r="L158" s="312"/>
      <c r="M158" s="312"/>
      <c r="N158" s="312"/>
      <c r="O158" s="312"/>
      <c r="P158" s="312"/>
      <c r="Q158" s="312"/>
      <c r="R158" s="312"/>
      <c r="S158" s="312"/>
      <c r="T158" s="312"/>
      <c r="U158" s="312"/>
      <c r="V158" s="312"/>
      <c r="W158" s="312"/>
      <c r="X158" s="312"/>
      <c r="Y158" s="312"/>
    </row>
    <row r="159" ht="18.75" spans="1:25">
      <c r="A159" s="312"/>
      <c r="B159" s="312"/>
      <c r="C159" s="312"/>
      <c r="D159" s="312"/>
      <c r="E159" s="312"/>
      <c r="F159" s="312"/>
      <c r="G159" s="312"/>
      <c r="H159" s="312"/>
      <c r="I159" s="312"/>
      <c r="J159" s="312"/>
      <c r="K159" s="312"/>
      <c r="L159" s="312"/>
      <c r="M159" s="312"/>
      <c r="N159" s="312"/>
      <c r="O159" s="312"/>
      <c r="P159" s="312"/>
      <c r="Q159" s="312"/>
      <c r="R159" s="312"/>
      <c r="S159" s="312"/>
      <c r="T159" s="312"/>
      <c r="U159" s="312"/>
      <c r="V159" s="312"/>
      <c r="W159" s="312"/>
      <c r="X159" s="312"/>
      <c r="Y159" s="312"/>
    </row>
    <row r="160" ht="18.75" spans="1:25">
      <c r="A160" s="312"/>
      <c r="B160" s="312"/>
      <c r="C160" s="312"/>
      <c r="D160" s="312"/>
      <c r="E160" s="312"/>
      <c r="F160" s="312"/>
      <c r="G160" s="312"/>
      <c r="H160" s="312"/>
      <c r="I160" s="312"/>
      <c r="J160" s="312"/>
      <c r="K160" s="312"/>
      <c r="L160" s="312"/>
      <c r="M160" s="312"/>
      <c r="N160" s="312"/>
      <c r="O160" s="312"/>
      <c r="P160" s="312"/>
      <c r="Q160" s="312"/>
      <c r="R160" s="312"/>
      <c r="S160" s="312"/>
      <c r="T160" s="312"/>
      <c r="U160" s="312"/>
      <c r="V160" s="312"/>
      <c r="W160" s="312"/>
      <c r="X160" s="312"/>
      <c r="Y160" s="312"/>
    </row>
    <row r="161" ht="18.75" spans="1:25">
      <c r="A161" s="312"/>
      <c r="B161" s="312"/>
      <c r="C161" s="312"/>
      <c r="D161" s="312"/>
      <c r="E161" s="312"/>
      <c r="F161" s="312"/>
      <c r="G161" s="312"/>
      <c r="H161" s="312"/>
      <c r="I161" s="312"/>
      <c r="J161" s="312"/>
      <c r="K161" s="312"/>
      <c r="L161" s="312"/>
      <c r="M161" s="312"/>
      <c r="N161" s="312"/>
      <c r="O161" s="312"/>
      <c r="P161" s="312"/>
      <c r="Q161" s="312"/>
      <c r="R161" s="312"/>
      <c r="S161" s="312"/>
      <c r="T161" s="312"/>
      <c r="U161" s="312"/>
      <c r="V161" s="312"/>
      <c r="W161" s="312"/>
      <c r="X161" s="312"/>
      <c r="Y161" s="312"/>
    </row>
    <row r="162" ht="18.75" spans="1:25">
      <c r="A162" s="312"/>
      <c r="B162" s="312"/>
      <c r="C162" s="312"/>
      <c r="D162" s="312"/>
      <c r="E162" s="312"/>
      <c r="F162" s="312"/>
      <c r="G162" s="312"/>
      <c r="H162" s="312"/>
      <c r="I162" s="312"/>
      <c r="J162" s="312"/>
      <c r="K162" s="312"/>
      <c r="L162" s="312"/>
      <c r="M162" s="312"/>
      <c r="N162" s="312"/>
      <c r="O162" s="312"/>
      <c r="P162" s="312"/>
      <c r="Q162" s="312"/>
      <c r="R162" s="312"/>
      <c r="S162" s="312"/>
      <c r="T162" s="312"/>
      <c r="U162" s="312"/>
      <c r="V162" s="312"/>
      <c r="W162" s="312"/>
      <c r="X162" s="312"/>
      <c r="Y162" s="312"/>
    </row>
    <row r="163" ht="18.75" spans="1:25">
      <c r="A163" s="312"/>
      <c r="B163" s="312"/>
      <c r="C163" s="312"/>
      <c r="D163" s="312"/>
      <c r="E163" s="312"/>
      <c r="F163" s="312"/>
      <c r="G163" s="312"/>
      <c r="H163" s="312"/>
      <c r="I163" s="312"/>
      <c r="J163" s="312"/>
      <c r="K163" s="312"/>
      <c r="L163" s="312"/>
      <c r="M163" s="312"/>
      <c r="N163" s="312"/>
      <c r="O163" s="312"/>
      <c r="P163" s="312"/>
      <c r="Q163" s="312"/>
      <c r="R163" s="312"/>
      <c r="S163" s="312"/>
      <c r="T163" s="312"/>
      <c r="U163" s="312"/>
      <c r="V163" s="312"/>
      <c r="W163" s="312"/>
      <c r="X163" s="312"/>
      <c r="Y163" s="312"/>
    </row>
    <row r="164" ht="18.75" spans="1:25">
      <c r="A164" s="312"/>
      <c r="B164" s="312"/>
      <c r="C164" s="312"/>
      <c r="D164" s="312"/>
      <c r="E164" s="312"/>
      <c r="F164" s="312"/>
      <c r="G164" s="312"/>
      <c r="H164" s="312"/>
      <c r="I164" s="312"/>
      <c r="J164" s="312"/>
      <c r="K164" s="312"/>
      <c r="L164" s="312"/>
      <c r="M164" s="312"/>
      <c r="N164" s="312"/>
      <c r="O164" s="312"/>
      <c r="P164" s="312"/>
      <c r="Q164" s="312"/>
      <c r="R164" s="312"/>
      <c r="S164" s="312"/>
      <c r="T164" s="312"/>
      <c r="U164" s="312"/>
      <c r="V164" s="312"/>
      <c r="W164" s="312"/>
      <c r="X164" s="312"/>
      <c r="Y164" s="312"/>
    </row>
    <row r="165" ht="18.75" spans="1:25">
      <c r="A165" s="312"/>
      <c r="B165" s="312"/>
      <c r="C165" s="312"/>
      <c r="D165" s="312"/>
      <c r="E165" s="312"/>
      <c r="F165" s="312"/>
      <c r="G165" s="312"/>
      <c r="H165" s="312"/>
      <c r="I165" s="312"/>
      <c r="J165" s="312"/>
      <c r="K165" s="312"/>
      <c r="L165" s="312"/>
      <c r="M165" s="312"/>
      <c r="N165" s="312"/>
      <c r="O165" s="312"/>
      <c r="P165" s="312"/>
      <c r="Q165" s="312"/>
      <c r="R165" s="312"/>
      <c r="S165" s="312"/>
      <c r="T165" s="312"/>
      <c r="U165" s="312"/>
      <c r="V165" s="312"/>
      <c r="W165" s="312"/>
      <c r="X165" s="312"/>
      <c r="Y165" s="312"/>
    </row>
    <row r="166" ht="18.75" spans="1:25">
      <c r="A166" s="312"/>
      <c r="B166" s="312"/>
      <c r="C166" s="312"/>
      <c r="D166" s="312"/>
      <c r="E166" s="312"/>
      <c r="F166" s="312"/>
      <c r="G166" s="312"/>
      <c r="H166" s="312"/>
      <c r="I166" s="312"/>
      <c r="J166" s="312"/>
      <c r="K166" s="312"/>
      <c r="L166" s="312"/>
      <c r="M166" s="312"/>
      <c r="N166" s="312"/>
      <c r="O166" s="312"/>
      <c r="P166" s="312"/>
      <c r="Q166" s="312"/>
      <c r="R166" s="312"/>
      <c r="S166" s="312"/>
      <c r="T166" s="312"/>
      <c r="U166" s="312"/>
      <c r="V166" s="312"/>
      <c r="W166" s="312"/>
      <c r="X166" s="312"/>
      <c r="Y166" s="312"/>
    </row>
    <row r="167" ht="18.75" spans="1:25">
      <c r="A167" s="312"/>
      <c r="B167" s="312"/>
      <c r="C167" s="312"/>
      <c r="D167" s="312"/>
      <c r="E167" s="312"/>
      <c r="F167" s="312"/>
      <c r="G167" s="312"/>
      <c r="H167" s="312"/>
      <c r="I167" s="312"/>
      <c r="J167" s="312"/>
      <c r="K167" s="312"/>
      <c r="L167" s="312"/>
      <c r="M167" s="312"/>
      <c r="N167" s="312"/>
      <c r="O167" s="312"/>
      <c r="P167" s="312"/>
      <c r="Q167" s="312"/>
      <c r="R167" s="312"/>
      <c r="S167" s="312"/>
      <c r="T167" s="312"/>
      <c r="U167" s="312"/>
      <c r="V167" s="312"/>
      <c r="W167" s="312"/>
      <c r="X167" s="312"/>
      <c r="Y167" s="312"/>
    </row>
    <row r="168" ht="18.75" spans="1:25">
      <c r="A168" s="312"/>
      <c r="B168" s="312"/>
      <c r="C168" s="312"/>
      <c r="D168" s="312"/>
      <c r="E168" s="312"/>
      <c r="F168" s="312"/>
      <c r="G168" s="312"/>
      <c r="H168" s="312"/>
      <c r="I168" s="312"/>
      <c r="J168" s="312"/>
      <c r="K168" s="312"/>
      <c r="L168" s="312"/>
      <c r="M168" s="312"/>
      <c r="N168" s="312"/>
      <c r="O168" s="312"/>
      <c r="P168" s="312"/>
      <c r="Q168" s="312"/>
      <c r="R168" s="312"/>
      <c r="S168" s="312"/>
      <c r="T168" s="312"/>
      <c r="U168" s="312"/>
      <c r="V168" s="312"/>
      <c r="W168" s="312"/>
      <c r="X168" s="312"/>
      <c r="Y168" s="312"/>
    </row>
    <row r="169" ht="18.75" spans="1:25">
      <c r="A169" s="312"/>
      <c r="B169" s="312"/>
      <c r="C169" s="312"/>
      <c r="D169" s="312"/>
      <c r="E169" s="312"/>
      <c r="F169" s="312"/>
      <c r="G169" s="312"/>
      <c r="H169" s="312"/>
      <c r="I169" s="312"/>
      <c r="J169" s="312"/>
      <c r="K169" s="312"/>
      <c r="L169" s="312"/>
      <c r="M169" s="312"/>
      <c r="N169" s="312"/>
      <c r="O169" s="312"/>
      <c r="P169" s="312"/>
      <c r="Q169" s="312"/>
      <c r="R169" s="312"/>
      <c r="S169" s="312"/>
      <c r="T169" s="312"/>
      <c r="U169" s="312"/>
      <c r="V169" s="312"/>
      <c r="W169" s="312"/>
      <c r="X169" s="312"/>
      <c r="Y169" s="312"/>
    </row>
    <row r="170" ht="18.75" spans="1:25">
      <c r="A170" s="312"/>
      <c r="B170" s="312"/>
      <c r="C170" s="312"/>
      <c r="D170" s="312"/>
      <c r="E170" s="312"/>
      <c r="F170" s="312"/>
      <c r="G170" s="312"/>
      <c r="H170" s="312"/>
      <c r="I170" s="312"/>
      <c r="J170" s="312"/>
      <c r="K170" s="312"/>
      <c r="L170" s="312"/>
      <c r="M170" s="312"/>
      <c r="N170" s="312"/>
      <c r="O170" s="312"/>
      <c r="P170" s="312"/>
      <c r="Q170" s="312"/>
      <c r="R170" s="312"/>
      <c r="S170" s="312"/>
      <c r="T170" s="312"/>
      <c r="U170" s="312"/>
      <c r="V170" s="312"/>
      <c r="W170" s="312"/>
      <c r="X170" s="312"/>
      <c r="Y170" s="312"/>
    </row>
    <row r="171" ht="18.75" spans="1:25">
      <c r="A171" s="312"/>
      <c r="B171" s="312"/>
      <c r="C171" s="312"/>
      <c r="D171" s="312"/>
      <c r="E171" s="312"/>
      <c r="F171" s="312"/>
      <c r="G171" s="312"/>
      <c r="H171" s="312"/>
      <c r="I171" s="312"/>
      <c r="J171" s="312"/>
      <c r="K171" s="312"/>
      <c r="L171" s="312"/>
      <c r="M171" s="312"/>
      <c r="N171" s="312"/>
      <c r="O171" s="312"/>
      <c r="P171" s="312"/>
      <c r="Q171" s="312"/>
      <c r="R171" s="312"/>
      <c r="S171" s="312"/>
      <c r="T171" s="312"/>
      <c r="U171" s="312"/>
      <c r="V171" s="312"/>
      <c r="W171" s="312"/>
      <c r="X171" s="312"/>
      <c r="Y171" s="312"/>
    </row>
    <row r="172" ht="18.75" spans="1:25">
      <c r="A172" s="312"/>
      <c r="B172" s="312"/>
      <c r="C172" s="312"/>
      <c r="D172" s="312"/>
      <c r="E172" s="312"/>
      <c r="F172" s="312"/>
      <c r="G172" s="312"/>
      <c r="H172" s="312"/>
      <c r="I172" s="312"/>
      <c r="J172" s="312"/>
      <c r="K172" s="312"/>
      <c r="L172" s="312"/>
      <c r="M172" s="312"/>
      <c r="N172" s="312"/>
      <c r="O172" s="312"/>
      <c r="P172" s="312"/>
      <c r="Q172" s="312"/>
      <c r="R172" s="312"/>
      <c r="S172" s="312"/>
      <c r="T172" s="312"/>
      <c r="U172" s="312"/>
      <c r="V172" s="312"/>
      <c r="W172" s="312"/>
      <c r="X172" s="312"/>
      <c r="Y172" s="312"/>
    </row>
    <row r="173" ht="18.75" spans="1:25">
      <c r="A173" s="312"/>
      <c r="B173" s="312"/>
      <c r="C173" s="312"/>
      <c r="D173" s="312"/>
      <c r="E173" s="312"/>
      <c r="F173" s="312"/>
      <c r="G173" s="312"/>
      <c r="H173" s="312"/>
      <c r="I173" s="312"/>
      <c r="J173" s="312"/>
      <c r="K173" s="312"/>
      <c r="L173" s="312"/>
      <c r="M173" s="312"/>
      <c r="N173" s="312"/>
      <c r="O173" s="312"/>
      <c r="P173" s="312"/>
      <c r="Q173" s="312"/>
      <c r="R173" s="312"/>
      <c r="S173" s="312"/>
      <c r="T173" s="312"/>
      <c r="U173" s="312"/>
      <c r="V173" s="312"/>
      <c r="W173" s="312"/>
      <c r="X173" s="312"/>
      <c r="Y173" s="312"/>
    </row>
    <row r="174" ht="18.75" spans="1:25">
      <c r="A174" s="312"/>
      <c r="B174" s="312"/>
      <c r="C174" s="312"/>
      <c r="D174" s="312"/>
      <c r="E174" s="312"/>
      <c r="F174" s="312"/>
      <c r="G174" s="312"/>
      <c r="H174" s="312"/>
      <c r="I174" s="312"/>
      <c r="J174" s="312"/>
      <c r="K174" s="312"/>
      <c r="L174" s="312"/>
      <c r="M174" s="312"/>
      <c r="N174" s="312"/>
      <c r="O174" s="312"/>
      <c r="P174" s="312"/>
      <c r="Q174" s="312"/>
      <c r="R174" s="312"/>
      <c r="S174" s="312"/>
      <c r="T174" s="312"/>
      <c r="U174" s="312"/>
      <c r="V174" s="312"/>
      <c r="W174" s="312"/>
      <c r="X174" s="312"/>
      <c r="Y174" s="312"/>
    </row>
    <row r="175" ht="18.75" spans="1:25">
      <c r="A175" s="312"/>
      <c r="B175" s="312"/>
      <c r="C175" s="312"/>
      <c r="D175" s="312"/>
      <c r="E175" s="312"/>
      <c r="F175" s="312"/>
      <c r="G175" s="312"/>
      <c r="H175" s="312"/>
      <c r="I175" s="312"/>
      <c r="J175" s="312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2"/>
      <c r="X175" s="312"/>
      <c r="Y175" s="312"/>
    </row>
    <row r="176" ht="18.75" spans="1:25">
      <c r="A176" s="312"/>
      <c r="B176" s="312"/>
      <c r="C176" s="312"/>
      <c r="D176" s="312"/>
      <c r="E176" s="312"/>
      <c r="F176" s="312"/>
      <c r="G176" s="312"/>
      <c r="H176" s="312"/>
      <c r="I176" s="312"/>
      <c r="J176" s="312"/>
      <c r="K176" s="312"/>
      <c r="L176" s="312"/>
      <c r="M176" s="312"/>
      <c r="N176" s="312"/>
      <c r="O176" s="312"/>
      <c r="P176" s="312"/>
      <c r="Q176" s="312"/>
      <c r="R176" s="312"/>
      <c r="S176" s="312"/>
      <c r="T176" s="312"/>
      <c r="U176" s="312"/>
      <c r="V176" s="312"/>
      <c r="W176" s="312"/>
      <c r="X176" s="312"/>
      <c r="Y176" s="312"/>
    </row>
    <row r="177" ht="18.75" spans="1:25">
      <c r="A177" s="312"/>
      <c r="B177" s="312"/>
      <c r="C177" s="312"/>
      <c r="D177" s="312"/>
      <c r="E177" s="312"/>
      <c r="F177" s="312"/>
      <c r="G177" s="312"/>
      <c r="H177" s="312"/>
      <c r="I177" s="312"/>
      <c r="J177" s="312"/>
      <c r="K177" s="312"/>
      <c r="L177" s="312"/>
      <c r="M177" s="312"/>
      <c r="N177" s="312"/>
      <c r="O177" s="312"/>
      <c r="P177" s="312"/>
      <c r="Q177" s="312"/>
      <c r="R177" s="312"/>
      <c r="S177" s="312"/>
      <c r="T177" s="312"/>
      <c r="U177" s="312"/>
      <c r="V177" s="312"/>
      <c r="W177" s="312"/>
      <c r="X177" s="312"/>
      <c r="Y177" s="312"/>
    </row>
    <row r="178" ht="18.75" spans="1:25">
      <c r="A178" s="312"/>
      <c r="B178" s="312"/>
      <c r="C178" s="312"/>
      <c r="D178" s="312"/>
      <c r="E178" s="312"/>
      <c r="F178" s="312"/>
      <c r="G178" s="312"/>
      <c r="H178" s="312"/>
      <c r="I178" s="312"/>
      <c r="J178" s="312"/>
      <c r="K178" s="312"/>
      <c r="L178" s="312"/>
      <c r="M178" s="312"/>
      <c r="N178" s="312"/>
      <c r="O178" s="312"/>
      <c r="P178" s="312"/>
      <c r="Q178" s="312"/>
      <c r="R178" s="312"/>
      <c r="S178" s="312"/>
      <c r="T178" s="312"/>
      <c r="U178" s="312"/>
      <c r="V178" s="312"/>
      <c r="W178" s="312"/>
      <c r="X178" s="312"/>
      <c r="Y178" s="312"/>
    </row>
    <row r="179" ht="18.75" spans="1:25">
      <c r="A179" s="312"/>
      <c r="B179" s="312"/>
      <c r="C179" s="312"/>
      <c r="D179" s="312"/>
      <c r="E179" s="312"/>
      <c r="F179" s="312"/>
      <c r="G179" s="312"/>
      <c r="H179" s="312"/>
      <c r="I179" s="312"/>
      <c r="J179" s="312"/>
      <c r="K179" s="312"/>
      <c r="L179" s="312"/>
      <c r="M179" s="312"/>
      <c r="N179" s="312"/>
      <c r="O179" s="312"/>
      <c r="P179" s="312"/>
      <c r="Q179" s="312"/>
      <c r="R179" s="312"/>
      <c r="S179" s="312"/>
      <c r="T179" s="312"/>
      <c r="U179" s="312"/>
      <c r="V179" s="312"/>
      <c r="W179" s="312"/>
      <c r="X179" s="312"/>
      <c r="Y179" s="312"/>
    </row>
    <row r="180" ht="18.75" spans="1:25">
      <c r="A180" s="312"/>
      <c r="B180" s="312"/>
      <c r="C180" s="312"/>
      <c r="D180" s="312"/>
      <c r="E180" s="312"/>
      <c r="F180" s="312"/>
      <c r="G180" s="312"/>
      <c r="H180" s="312"/>
      <c r="I180" s="312"/>
      <c r="J180" s="312"/>
      <c r="K180" s="312"/>
      <c r="L180" s="312"/>
      <c r="M180" s="312"/>
      <c r="N180" s="312"/>
      <c r="O180" s="312"/>
      <c r="P180" s="312"/>
      <c r="Q180" s="312"/>
      <c r="R180" s="312"/>
      <c r="S180" s="312"/>
      <c r="T180" s="312"/>
      <c r="U180" s="312"/>
      <c r="V180" s="312"/>
      <c r="W180" s="312"/>
      <c r="X180" s="312"/>
      <c r="Y180" s="312"/>
    </row>
    <row r="181" ht="18.75" spans="1:25">
      <c r="A181" s="312"/>
      <c r="B181" s="312"/>
      <c r="C181" s="312"/>
      <c r="D181" s="312"/>
      <c r="E181" s="312"/>
      <c r="F181" s="312"/>
      <c r="G181" s="312"/>
      <c r="H181" s="312"/>
      <c r="I181" s="312"/>
      <c r="J181" s="312"/>
      <c r="K181" s="312"/>
      <c r="L181" s="312"/>
      <c r="M181" s="312"/>
      <c r="N181" s="312"/>
      <c r="O181" s="312"/>
      <c r="P181" s="312"/>
      <c r="Q181" s="312"/>
      <c r="R181" s="312"/>
      <c r="S181" s="312"/>
      <c r="T181" s="312"/>
      <c r="U181" s="312"/>
      <c r="V181" s="312"/>
      <c r="W181" s="312"/>
      <c r="X181" s="312"/>
      <c r="Y181" s="312"/>
    </row>
    <row r="182" ht="18.75" spans="1:25">
      <c r="A182" s="312"/>
      <c r="B182" s="312"/>
      <c r="C182" s="312"/>
      <c r="D182" s="312"/>
      <c r="E182" s="312"/>
      <c r="F182" s="312"/>
      <c r="G182" s="312"/>
      <c r="H182" s="312"/>
      <c r="I182" s="312"/>
      <c r="J182" s="312"/>
      <c r="K182" s="312"/>
      <c r="L182" s="312"/>
      <c r="M182" s="312"/>
      <c r="N182" s="312"/>
      <c r="O182" s="312"/>
      <c r="P182" s="312"/>
      <c r="Q182" s="312"/>
      <c r="R182" s="312"/>
      <c r="S182" s="312"/>
      <c r="T182" s="312"/>
      <c r="U182" s="312"/>
      <c r="V182" s="312"/>
      <c r="W182" s="312"/>
      <c r="X182" s="312"/>
      <c r="Y182" s="312"/>
    </row>
    <row r="183" ht="18.75" spans="1:25">
      <c r="A183" s="312"/>
      <c r="B183" s="312"/>
      <c r="C183" s="312"/>
      <c r="D183" s="312"/>
      <c r="E183" s="312"/>
      <c r="F183" s="312"/>
      <c r="G183" s="312"/>
      <c r="H183" s="312"/>
      <c r="I183" s="312"/>
      <c r="J183" s="312"/>
      <c r="K183" s="312"/>
      <c r="L183" s="312"/>
      <c r="M183" s="312"/>
      <c r="N183" s="312"/>
      <c r="O183" s="312"/>
      <c r="P183" s="312"/>
      <c r="Q183" s="312"/>
      <c r="R183" s="312"/>
      <c r="S183" s="312"/>
      <c r="T183" s="312"/>
      <c r="U183" s="312"/>
      <c r="V183" s="312"/>
      <c r="W183" s="312"/>
      <c r="X183" s="312"/>
      <c r="Y183" s="312"/>
    </row>
    <row r="184" ht="18.75" spans="1:25">
      <c r="A184" s="312"/>
      <c r="B184" s="312"/>
      <c r="C184" s="312"/>
      <c r="D184" s="312"/>
      <c r="E184" s="312"/>
      <c r="F184" s="312"/>
      <c r="G184" s="312"/>
      <c r="H184" s="312"/>
      <c r="I184" s="312"/>
      <c r="J184" s="312"/>
      <c r="K184" s="312"/>
      <c r="L184" s="312"/>
      <c r="M184" s="312"/>
      <c r="N184" s="312"/>
      <c r="O184" s="312"/>
      <c r="P184" s="312"/>
      <c r="Q184" s="312"/>
      <c r="R184" s="312"/>
      <c r="S184" s="312"/>
      <c r="T184" s="312"/>
      <c r="U184" s="312"/>
      <c r="V184" s="312"/>
      <c r="W184" s="312"/>
      <c r="X184" s="312"/>
      <c r="Y184" s="312"/>
    </row>
    <row r="185" ht="18.75" spans="1:25">
      <c r="A185" s="312"/>
      <c r="B185" s="312"/>
      <c r="C185" s="312"/>
      <c r="D185" s="312"/>
      <c r="E185" s="312"/>
      <c r="F185" s="312"/>
      <c r="G185" s="312"/>
      <c r="H185" s="312"/>
      <c r="I185" s="312"/>
      <c r="J185" s="312"/>
      <c r="K185" s="312"/>
      <c r="L185" s="312"/>
      <c r="M185" s="312"/>
      <c r="N185" s="312"/>
      <c r="O185" s="312"/>
      <c r="P185" s="312"/>
      <c r="Q185" s="312"/>
      <c r="R185" s="312"/>
      <c r="S185" s="312"/>
      <c r="T185" s="312"/>
      <c r="U185" s="312"/>
      <c r="V185" s="312"/>
      <c r="W185" s="312"/>
      <c r="X185" s="312"/>
      <c r="Y185" s="312"/>
    </row>
    <row r="186" ht="18.75" spans="1:25">
      <c r="A186" s="312"/>
      <c r="B186" s="312"/>
      <c r="C186" s="312"/>
      <c r="D186" s="312"/>
      <c r="E186" s="312"/>
      <c r="F186" s="312"/>
      <c r="G186" s="312"/>
      <c r="H186" s="312"/>
      <c r="I186" s="312"/>
      <c r="J186" s="312"/>
      <c r="K186" s="312"/>
      <c r="L186" s="312"/>
      <c r="M186" s="312"/>
      <c r="N186" s="312"/>
      <c r="O186" s="312"/>
      <c r="P186" s="312"/>
      <c r="Q186" s="312"/>
      <c r="R186" s="312"/>
      <c r="S186" s="312"/>
      <c r="T186" s="312"/>
      <c r="U186" s="312"/>
      <c r="V186" s="312"/>
      <c r="W186" s="312"/>
      <c r="X186" s="312"/>
      <c r="Y186" s="312"/>
    </row>
    <row r="187" ht="18.75" spans="1:25">
      <c r="A187" s="312"/>
      <c r="B187" s="312"/>
      <c r="C187" s="312"/>
      <c r="D187" s="312"/>
      <c r="E187" s="312"/>
      <c r="F187" s="312"/>
      <c r="G187" s="312"/>
      <c r="H187" s="312"/>
      <c r="I187" s="312"/>
      <c r="J187" s="312"/>
      <c r="K187" s="312"/>
      <c r="L187" s="312"/>
      <c r="M187" s="312"/>
      <c r="N187" s="312"/>
      <c r="O187" s="312"/>
      <c r="P187" s="312"/>
      <c r="Q187" s="312"/>
      <c r="R187" s="312"/>
      <c r="S187" s="312"/>
      <c r="T187" s="312"/>
      <c r="U187" s="312"/>
      <c r="V187" s="312"/>
      <c r="W187" s="312"/>
      <c r="X187" s="312"/>
      <c r="Y187" s="312"/>
    </row>
    <row r="188" ht="18.75" spans="1:25">
      <c r="A188" s="312"/>
      <c r="B188" s="312"/>
      <c r="C188" s="312"/>
      <c r="D188" s="312"/>
      <c r="E188" s="312"/>
      <c r="F188" s="312"/>
      <c r="G188" s="312"/>
      <c r="H188" s="312"/>
      <c r="I188" s="312"/>
      <c r="J188" s="312"/>
      <c r="K188" s="312"/>
      <c r="L188" s="312"/>
      <c r="M188" s="312"/>
      <c r="N188" s="312"/>
      <c r="O188" s="312"/>
      <c r="P188" s="312"/>
      <c r="Q188" s="312"/>
      <c r="R188" s="312"/>
      <c r="S188" s="312"/>
      <c r="T188" s="312"/>
      <c r="U188" s="312"/>
      <c r="V188" s="312"/>
      <c r="W188" s="312"/>
      <c r="X188" s="312"/>
      <c r="Y188" s="312"/>
    </row>
    <row r="189" ht="18.75" spans="1:25">
      <c r="A189" s="312"/>
      <c r="B189" s="312"/>
      <c r="C189" s="312"/>
      <c r="D189" s="312"/>
      <c r="E189" s="312"/>
      <c r="F189" s="312"/>
      <c r="G189" s="312"/>
      <c r="H189" s="312"/>
      <c r="I189" s="312"/>
      <c r="J189" s="312"/>
      <c r="K189" s="312"/>
      <c r="L189" s="312"/>
      <c r="M189" s="312"/>
      <c r="N189" s="312"/>
      <c r="O189" s="312"/>
      <c r="P189" s="312"/>
      <c r="Q189" s="312"/>
      <c r="R189" s="312"/>
      <c r="S189" s="312"/>
      <c r="T189" s="312"/>
      <c r="U189" s="312"/>
      <c r="V189" s="312"/>
      <c r="W189" s="312"/>
      <c r="X189" s="312"/>
      <c r="Y189" s="312"/>
    </row>
    <row r="190" ht="18.75" spans="1:25">
      <c r="A190" s="312"/>
      <c r="B190" s="312"/>
      <c r="C190" s="312"/>
      <c r="D190" s="312"/>
      <c r="E190" s="312"/>
      <c r="F190" s="312"/>
      <c r="G190" s="312"/>
      <c r="H190" s="312"/>
      <c r="I190" s="312"/>
      <c r="J190" s="312"/>
      <c r="K190" s="312"/>
      <c r="L190" s="312"/>
      <c r="M190" s="312"/>
      <c r="N190" s="312"/>
      <c r="O190" s="312"/>
      <c r="P190" s="312"/>
      <c r="Q190" s="312"/>
      <c r="R190" s="312"/>
      <c r="S190" s="312"/>
      <c r="T190" s="312"/>
      <c r="U190" s="312"/>
      <c r="V190" s="312"/>
      <c r="W190" s="312"/>
      <c r="X190" s="312"/>
      <c r="Y190" s="312"/>
    </row>
    <row r="191" ht="18.75" spans="1:25">
      <c r="A191" s="312"/>
      <c r="B191" s="312"/>
      <c r="C191" s="312"/>
      <c r="D191" s="312"/>
      <c r="E191" s="312"/>
      <c r="F191" s="312"/>
      <c r="G191" s="312"/>
      <c r="H191" s="312"/>
      <c r="I191" s="312"/>
      <c r="J191" s="312"/>
      <c r="K191" s="312"/>
      <c r="L191" s="312"/>
      <c r="M191" s="312"/>
      <c r="N191" s="312"/>
      <c r="O191" s="312"/>
      <c r="P191" s="312"/>
      <c r="Q191" s="312"/>
      <c r="R191" s="312"/>
      <c r="S191" s="312"/>
      <c r="T191" s="312"/>
      <c r="U191" s="312"/>
      <c r="V191" s="312"/>
      <c r="W191" s="312"/>
      <c r="X191" s="312"/>
      <c r="Y191" s="312"/>
    </row>
    <row r="192" ht="18.75" spans="1:25">
      <c r="A192" s="312"/>
      <c r="B192" s="312"/>
      <c r="C192" s="312"/>
      <c r="D192" s="312"/>
      <c r="E192" s="312"/>
      <c r="F192" s="312"/>
      <c r="G192" s="312"/>
      <c r="H192" s="312"/>
      <c r="I192" s="312"/>
      <c r="J192" s="312"/>
      <c r="K192" s="312"/>
      <c r="L192" s="312"/>
      <c r="M192" s="312"/>
      <c r="N192" s="312"/>
      <c r="O192" s="312"/>
      <c r="P192" s="312"/>
      <c r="Q192" s="312"/>
      <c r="R192" s="312"/>
      <c r="S192" s="312"/>
      <c r="T192" s="312"/>
      <c r="U192" s="312"/>
      <c r="V192" s="312"/>
      <c r="W192" s="312"/>
      <c r="X192" s="312"/>
      <c r="Y192" s="312"/>
    </row>
    <row r="193" ht="18.75" spans="1:25">
      <c r="A193" s="312"/>
      <c r="B193" s="312"/>
      <c r="C193" s="312"/>
      <c r="D193" s="312"/>
      <c r="E193" s="312"/>
      <c r="F193" s="312"/>
      <c r="G193" s="312"/>
      <c r="H193" s="312"/>
      <c r="I193" s="312"/>
      <c r="J193" s="312"/>
      <c r="K193" s="312"/>
      <c r="L193" s="312"/>
      <c r="M193" s="312"/>
      <c r="N193" s="312"/>
      <c r="O193" s="312"/>
      <c r="P193" s="312"/>
      <c r="Q193" s="312"/>
      <c r="R193" s="312"/>
      <c r="S193" s="312"/>
      <c r="T193" s="312"/>
      <c r="U193" s="312"/>
      <c r="V193" s="312"/>
      <c r="W193" s="312"/>
      <c r="X193" s="312"/>
      <c r="Y193" s="312"/>
    </row>
    <row r="194" ht="18.75" spans="1:25">
      <c r="A194" s="312"/>
      <c r="B194" s="312"/>
      <c r="C194" s="312"/>
      <c r="D194" s="312"/>
      <c r="E194" s="312"/>
      <c r="F194" s="312"/>
      <c r="G194" s="312"/>
      <c r="H194" s="312"/>
      <c r="I194" s="312"/>
      <c r="J194" s="312"/>
      <c r="K194" s="312"/>
      <c r="L194" s="312"/>
      <c r="M194" s="312"/>
      <c r="N194" s="312"/>
      <c r="O194" s="312"/>
      <c r="P194" s="312"/>
      <c r="Q194" s="312"/>
      <c r="R194" s="312"/>
      <c r="S194" s="312"/>
      <c r="T194" s="312"/>
      <c r="U194" s="312"/>
      <c r="V194" s="312"/>
      <c r="W194" s="312"/>
      <c r="X194" s="312"/>
      <c r="Y194" s="312"/>
    </row>
    <row r="195" ht="18.75" spans="1:25">
      <c r="A195" s="312"/>
      <c r="B195" s="312"/>
      <c r="C195" s="312"/>
      <c r="D195" s="312"/>
      <c r="E195" s="312"/>
      <c r="F195" s="312"/>
      <c r="G195" s="312"/>
      <c r="H195" s="312"/>
      <c r="I195" s="312"/>
      <c r="J195" s="312"/>
      <c r="K195" s="312"/>
      <c r="L195" s="312"/>
      <c r="M195" s="312"/>
      <c r="N195" s="312"/>
      <c r="O195" s="312"/>
      <c r="P195" s="312"/>
      <c r="Q195" s="312"/>
      <c r="R195" s="312"/>
      <c r="S195" s="312"/>
      <c r="T195" s="312"/>
      <c r="U195" s="312"/>
      <c r="V195" s="312"/>
      <c r="W195" s="312"/>
      <c r="X195" s="312"/>
      <c r="Y195" s="312"/>
    </row>
    <row r="196" ht="18.75" spans="1:25">
      <c r="A196" s="312"/>
      <c r="B196" s="312"/>
      <c r="C196" s="312"/>
      <c r="D196" s="312"/>
      <c r="E196" s="312"/>
      <c r="F196" s="312"/>
      <c r="G196" s="312"/>
      <c r="H196" s="312"/>
      <c r="I196" s="312"/>
      <c r="J196" s="312"/>
      <c r="K196" s="312"/>
      <c r="L196" s="312"/>
      <c r="M196" s="312"/>
      <c r="N196" s="312"/>
      <c r="O196" s="312"/>
      <c r="P196" s="312"/>
      <c r="Q196" s="312"/>
      <c r="R196" s="312"/>
      <c r="S196" s="312"/>
      <c r="T196" s="312"/>
      <c r="U196" s="312"/>
      <c r="V196" s="312"/>
      <c r="W196" s="312"/>
      <c r="X196" s="312"/>
      <c r="Y196" s="312"/>
    </row>
    <row r="197" ht="18.75" spans="1:25">
      <c r="A197" s="312"/>
      <c r="B197" s="312"/>
      <c r="C197" s="312"/>
      <c r="D197" s="312"/>
      <c r="E197" s="312"/>
      <c r="F197" s="312"/>
      <c r="G197" s="312"/>
      <c r="H197" s="312"/>
      <c r="I197" s="312"/>
      <c r="J197" s="312"/>
      <c r="K197" s="312"/>
      <c r="L197" s="312"/>
      <c r="M197" s="312"/>
      <c r="N197" s="312"/>
      <c r="O197" s="312"/>
      <c r="P197" s="312"/>
      <c r="Q197" s="312"/>
      <c r="R197" s="312"/>
      <c r="S197" s="312"/>
      <c r="T197" s="312"/>
      <c r="U197" s="312"/>
      <c r="V197" s="312"/>
      <c r="W197" s="312"/>
      <c r="X197" s="312"/>
      <c r="Y197" s="312"/>
    </row>
    <row r="198" ht="18.75" spans="1:25">
      <c r="A198" s="312"/>
      <c r="B198" s="312"/>
      <c r="C198" s="312"/>
      <c r="D198" s="312"/>
      <c r="E198" s="312"/>
      <c r="F198" s="312"/>
      <c r="G198" s="312"/>
      <c r="H198" s="312"/>
      <c r="I198" s="312"/>
      <c r="J198" s="312"/>
      <c r="K198" s="312"/>
      <c r="L198" s="312"/>
      <c r="M198" s="312"/>
      <c r="N198" s="312"/>
      <c r="O198" s="312"/>
      <c r="P198" s="312"/>
      <c r="Q198" s="312"/>
      <c r="R198" s="312"/>
      <c r="S198" s="312"/>
      <c r="T198" s="312"/>
      <c r="U198" s="312"/>
      <c r="V198" s="312"/>
      <c r="W198" s="312"/>
      <c r="X198" s="312"/>
      <c r="Y198" s="312"/>
    </row>
    <row r="199" ht="18.75" spans="1:25">
      <c r="A199" s="312"/>
      <c r="B199" s="312"/>
      <c r="C199" s="312"/>
      <c r="D199" s="312"/>
      <c r="E199" s="312"/>
      <c r="F199" s="312"/>
      <c r="G199" s="312"/>
      <c r="H199" s="312"/>
      <c r="I199" s="312"/>
      <c r="J199" s="312"/>
      <c r="K199" s="312"/>
      <c r="L199" s="312"/>
      <c r="M199" s="312"/>
      <c r="N199" s="312"/>
      <c r="O199" s="312"/>
      <c r="P199" s="312"/>
      <c r="Q199" s="312"/>
      <c r="R199" s="312"/>
      <c r="S199" s="312"/>
      <c r="T199" s="312"/>
      <c r="U199" s="312"/>
      <c r="V199" s="312"/>
      <c r="W199" s="312"/>
      <c r="X199" s="312"/>
      <c r="Y199" s="312"/>
    </row>
    <row r="200" ht="18.75" spans="1:25">
      <c r="A200" s="312"/>
      <c r="B200" s="312"/>
      <c r="C200" s="312"/>
      <c r="D200" s="312"/>
      <c r="E200" s="312"/>
      <c r="F200" s="312"/>
      <c r="G200" s="312"/>
      <c r="H200" s="312"/>
      <c r="I200" s="312"/>
      <c r="J200" s="312"/>
      <c r="K200" s="312"/>
      <c r="L200" s="312"/>
      <c r="M200" s="312"/>
      <c r="N200" s="312"/>
      <c r="O200" s="312"/>
      <c r="P200" s="312"/>
      <c r="Q200" s="312"/>
      <c r="R200" s="312"/>
      <c r="S200" s="312"/>
      <c r="T200" s="312"/>
      <c r="U200" s="312"/>
      <c r="V200" s="312"/>
      <c r="W200" s="312"/>
      <c r="X200" s="312"/>
      <c r="Y200" s="312"/>
    </row>
    <row r="201" ht="18.75" spans="1:25">
      <c r="A201" s="312"/>
      <c r="B201" s="312"/>
      <c r="C201" s="312"/>
      <c r="D201" s="312"/>
      <c r="E201" s="312"/>
      <c r="F201" s="312"/>
      <c r="G201" s="312"/>
      <c r="H201" s="312"/>
      <c r="I201" s="312"/>
      <c r="J201" s="312"/>
      <c r="K201" s="312"/>
      <c r="L201" s="312"/>
      <c r="M201" s="312"/>
      <c r="N201" s="312"/>
      <c r="O201" s="312"/>
      <c r="P201" s="312"/>
      <c r="Q201" s="312"/>
      <c r="R201" s="312"/>
      <c r="S201" s="312"/>
      <c r="T201" s="312"/>
      <c r="U201" s="312"/>
      <c r="V201" s="312"/>
      <c r="W201" s="312"/>
      <c r="X201" s="312"/>
      <c r="Y201" s="312"/>
    </row>
    <row r="202" ht="18.75" spans="1:25">
      <c r="A202" s="312"/>
      <c r="B202" s="312"/>
      <c r="C202" s="312"/>
      <c r="D202" s="312"/>
      <c r="E202" s="312"/>
      <c r="F202" s="312"/>
      <c r="G202" s="312"/>
      <c r="H202" s="312"/>
      <c r="I202" s="312"/>
      <c r="J202" s="312"/>
      <c r="K202" s="312"/>
      <c r="L202" s="312"/>
      <c r="M202" s="312"/>
      <c r="N202" s="312"/>
      <c r="O202" s="312"/>
      <c r="P202" s="312"/>
      <c r="Q202" s="312"/>
      <c r="R202" s="312"/>
      <c r="S202" s="312"/>
      <c r="T202" s="312"/>
      <c r="U202" s="312"/>
      <c r="V202" s="312"/>
      <c r="W202" s="312"/>
      <c r="X202" s="312"/>
      <c r="Y202" s="312"/>
    </row>
    <row r="203" ht="18.75" spans="1:25">
      <c r="A203" s="312"/>
      <c r="B203" s="312"/>
      <c r="C203" s="312"/>
      <c r="D203" s="312"/>
      <c r="E203" s="312"/>
      <c r="F203" s="312"/>
      <c r="G203" s="312"/>
      <c r="H203" s="312"/>
      <c r="I203" s="312"/>
      <c r="J203" s="312"/>
      <c r="K203" s="312"/>
      <c r="L203" s="312"/>
      <c r="M203" s="312"/>
      <c r="N203" s="312"/>
      <c r="O203" s="312"/>
      <c r="P203" s="312"/>
      <c r="Q203" s="312"/>
      <c r="R203" s="312"/>
      <c r="S203" s="312"/>
      <c r="T203" s="312"/>
      <c r="U203" s="312"/>
      <c r="V203" s="312"/>
      <c r="W203" s="312"/>
      <c r="X203" s="312"/>
      <c r="Y203" s="312"/>
    </row>
    <row r="204" ht="18.75" spans="1:25">
      <c r="A204" s="312"/>
      <c r="B204" s="312"/>
      <c r="C204" s="312"/>
      <c r="D204" s="312"/>
      <c r="E204" s="312"/>
      <c r="F204" s="312"/>
      <c r="G204" s="312"/>
      <c r="H204" s="312"/>
      <c r="I204" s="312"/>
      <c r="J204" s="312"/>
      <c r="K204" s="312"/>
      <c r="L204" s="312"/>
      <c r="M204" s="312"/>
      <c r="N204" s="312"/>
      <c r="O204" s="312"/>
      <c r="P204" s="312"/>
      <c r="Q204" s="312"/>
      <c r="R204" s="312"/>
      <c r="S204" s="312"/>
      <c r="T204" s="312"/>
      <c r="U204" s="312"/>
      <c r="V204" s="312"/>
      <c r="W204" s="312"/>
      <c r="X204" s="312"/>
      <c r="Y204" s="312"/>
    </row>
    <row r="205" ht="18.75" spans="1:25">
      <c r="A205" s="312"/>
      <c r="B205" s="312"/>
      <c r="C205" s="312"/>
      <c r="D205" s="312"/>
      <c r="E205" s="312"/>
      <c r="F205" s="312"/>
      <c r="G205" s="312"/>
      <c r="H205" s="312"/>
      <c r="I205" s="312"/>
      <c r="J205" s="312"/>
      <c r="K205" s="312"/>
      <c r="L205" s="312"/>
      <c r="M205" s="312"/>
      <c r="N205" s="312"/>
      <c r="O205" s="312"/>
      <c r="P205" s="312"/>
      <c r="Q205" s="312"/>
      <c r="R205" s="312"/>
      <c r="S205" s="312"/>
      <c r="T205" s="312"/>
      <c r="U205" s="312"/>
      <c r="V205" s="312"/>
      <c r="W205" s="312"/>
      <c r="X205" s="312"/>
      <c r="Y205" s="312"/>
    </row>
    <row r="206" ht="18.75" spans="1:25">
      <c r="A206" s="312"/>
      <c r="B206" s="312"/>
      <c r="C206" s="312"/>
      <c r="D206" s="312"/>
      <c r="E206" s="312"/>
      <c r="F206" s="312"/>
      <c r="G206" s="312"/>
      <c r="H206" s="312"/>
      <c r="I206" s="312"/>
      <c r="J206" s="312"/>
      <c r="K206" s="312"/>
      <c r="L206" s="312"/>
      <c r="M206" s="312"/>
      <c r="N206" s="312"/>
      <c r="O206" s="312"/>
      <c r="P206" s="312"/>
      <c r="Q206" s="312"/>
      <c r="R206" s="312"/>
      <c r="S206" s="312"/>
      <c r="T206" s="312"/>
      <c r="U206" s="312"/>
      <c r="V206" s="312"/>
      <c r="W206" s="312"/>
      <c r="X206" s="312"/>
      <c r="Y206" s="312"/>
    </row>
    <row r="207" ht="18.75" spans="1:25">
      <c r="A207" s="312"/>
      <c r="B207" s="312"/>
      <c r="C207" s="312"/>
      <c r="D207" s="312"/>
      <c r="E207" s="312"/>
      <c r="F207" s="312"/>
      <c r="G207" s="312"/>
      <c r="H207" s="312"/>
      <c r="I207" s="312"/>
      <c r="J207" s="312"/>
      <c r="K207" s="312"/>
      <c r="L207" s="312"/>
      <c r="M207" s="312"/>
      <c r="N207" s="312"/>
      <c r="O207" s="312"/>
      <c r="P207" s="312"/>
      <c r="Q207" s="312"/>
      <c r="R207" s="312"/>
      <c r="S207" s="312"/>
      <c r="T207" s="312"/>
      <c r="U207" s="312"/>
      <c r="V207" s="312"/>
      <c r="W207" s="312"/>
      <c r="X207" s="312"/>
      <c r="Y207" s="312"/>
    </row>
    <row r="208" ht="18.75" spans="1:25">
      <c r="A208" s="312"/>
      <c r="B208" s="312"/>
      <c r="C208" s="312"/>
      <c r="D208" s="312"/>
      <c r="E208" s="312"/>
      <c r="F208" s="312"/>
      <c r="G208" s="312"/>
      <c r="H208" s="312"/>
      <c r="I208" s="312"/>
      <c r="J208" s="312"/>
      <c r="K208" s="312"/>
      <c r="L208" s="312"/>
      <c r="M208" s="312"/>
      <c r="N208" s="312"/>
      <c r="O208" s="312"/>
      <c r="P208" s="312"/>
      <c r="Q208" s="312"/>
      <c r="R208" s="312"/>
      <c r="S208" s="312"/>
      <c r="T208" s="312"/>
      <c r="U208" s="312"/>
      <c r="V208" s="312"/>
      <c r="W208" s="312"/>
      <c r="X208" s="312"/>
      <c r="Y208" s="312"/>
    </row>
  </sheetData>
  <mergeCells count="46">
    <mergeCell ref="I1:T1"/>
    <mergeCell ref="I2:T2"/>
    <mergeCell ref="C7:F7"/>
    <mergeCell ref="G7:J7"/>
    <mergeCell ref="K7:O7"/>
    <mergeCell ref="P7:S7"/>
    <mergeCell ref="T7:X7"/>
    <mergeCell ref="Y7:Z7"/>
    <mergeCell ref="AC11:AD11"/>
    <mergeCell ref="AC12:AF12"/>
    <mergeCell ref="AC13:AF13"/>
    <mergeCell ref="AC14:AF14"/>
    <mergeCell ref="A22:B22"/>
    <mergeCell ref="C22:Z22"/>
    <mergeCell ref="G24:J24"/>
    <mergeCell ref="B26:D26"/>
    <mergeCell ref="B27:D27"/>
    <mergeCell ref="B28:D28"/>
    <mergeCell ref="L28:P28"/>
    <mergeCell ref="B29:D29"/>
    <mergeCell ref="B30:D30"/>
    <mergeCell ref="B31:D31"/>
    <mergeCell ref="B32:D32"/>
    <mergeCell ref="B33:D33"/>
    <mergeCell ref="B34:D34"/>
    <mergeCell ref="B35:D35"/>
    <mergeCell ref="L35:P35"/>
    <mergeCell ref="B36:D36"/>
    <mergeCell ref="A37:E37"/>
    <mergeCell ref="A7:A9"/>
    <mergeCell ref="A10:A11"/>
    <mergeCell ref="A12:A13"/>
    <mergeCell ref="A14:A15"/>
    <mergeCell ref="A16:A17"/>
    <mergeCell ref="A18:A19"/>
    <mergeCell ref="A24:A25"/>
    <mergeCell ref="E24:E25"/>
    <mergeCell ref="F24:F25"/>
    <mergeCell ref="K10:K11"/>
    <mergeCell ref="K16:K17"/>
    <mergeCell ref="K18:K19"/>
    <mergeCell ref="K24:K25"/>
    <mergeCell ref="V16:V17"/>
    <mergeCell ref="A1:H2"/>
    <mergeCell ref="W10:Z19"/>
    <mergeCell ref="B24:D25"/>
  </mergeCells>
  <pageMargins left="0.28" right="0.7" top="0.35" bottom="0.31" header="0.3" footer="0.3"/>
  <pageSetup paperSize="8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YS1B1</vt:lpstr>
      <vt:lpstr>D2B1</vt:lpstr>
      <vt:lpstr>ĐD2B1</vt:lpstr>
      <vt:lpstr>ĐD2B2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Luong Quoc Dong (FPL HCM)</cp:lastModifiedBy>
  <dcterms:created xsi:type="dcterms:W3CDTF">2006-09-16T00:00:00Z</dcterms:created>
  <dcterms:modified xsi:type="dcterms:W3CDTF">2026-07-19T09:10:54Z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78A4962CF23F49A983FC7984E008ABA2_12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