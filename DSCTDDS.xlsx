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<sst xmlns="http://schemas.openxmlformats.org/spreadsheetml/2006/main" count="1863" uniqueCount="1253">
  <si>
    <t>KHUNG CHƯƠNG TRÌNH ĐÀO TẠO NGÀNH DƯỢC HỆ DÂN SỰ - 3 NĂM</t>
  </si>
  <si>
    <t xml:space="preserve"> KHUNG CHƯƠNG TRÌNH ĐÀO TẠO</t>
  </si>
  <si>
    <t>Mã MH</t>
  </si>
  <si>
    <t>Tên môn học</t>
  </si>
  <si>
    <t>Số tín chỉ</t>
  </si>
  <si>
    <t>Thời gian học tập (giờ)</t>
  </si>
  <si>
    <t>Thời gian
ôn</t>
  </si>
  <si>
    <t>Tổng số</t>
  </si>
  <si>
    <t>Trong đó</t>
  </si>
  <si>
    <t>Lý thuyết</t>
  </si>
  <si>
    <t>Thực hành/
thực tập/
thí nghiệm/
thảo luận</t>
  </si>
  <si>
    <t>Thi/ Kiểm tra</t>
  </si>
  <si>
    <t>I</t>
  </si>
  <si>
    <t>Các môn học chung</t>
  </si>
  <si>
    <t>Giáo dục chính trị</t>
  </si>
  <si>
    <t>Pháp luật</t>
  </si>
  <si>
    <t>Giáo dục thể chất</t>
  </si>
  <si>
    <t>Giáo dục quốc phòng và An ninh</t>
  </si>
  <si>
    <t>Tiếng Anh cơ bản</t>
  </si>
  <si>
    <t>Tin học và chuyển đổi số</t>
  </si>
  <si>
    <t>Xác suất, thống kê y học</t>
  </si>
  <si>
    <t>Phương pháp nghiên cứu khoa học</t>
  </si>
  <si>
    <t>II</t>
  </si>
  <si>
    <t>Các môn học chuyên môn</t>
  </si>
  <si>
    <t>Môn cơ sở</t>
  </si>
  <si>
    <t>Hóa đại cương - Hóa vô cơ</t>
  </si>
  <si>
    <t>Hóa hữu cơ</t>
  </si>
  <si>
    <t>Sinh học và Di truyền</t>
  </si>
  <si>
    <t>Giải phẫu - Sinh lý</t>
  </si>
  <si>
    <t>Vi sinh vật - Ký sinh trùng</t>
  </si>
  <si>
    <t>Hóa sinh</t>
  </si>
  <si>
    <t>Vệ sinh - Dịch tễ</t>
  </si>
  <si>
    <t>Cấp cứu đầu tiên</t>
  </si>
  <si>
    <t xml:space="preserve">Bệnh học </t>
  </si>
  <si>
    <t>Hóa phân tích</t>
  </si>
  <si>
    <t>Thực vật dược</t>
  </si>
  <si>
    <t>Môn chuyên môn</t>
  </si>
  <si>
    <t>Hóa dược</t>
  </si>
  <si>
    <t>Dược lý</t>
  </si>
  <si>
    <t>Dược liệu</t>
  </si>
  <si>
    <t>Dược học cổ truyền</t>
  </si>
  <si>
    <t>Bào chế</t>
  </si>
  <si>
    <t>Kỹ thuật sản xuất dược phẩm</t>
  </si>
  <si>
    <t>Kiểm nghiệm</t>
  </si>
  <si>
    <t>Dược lâm sàng</t>
  </si>
  <si>
    <t>Tiếng Anh chuyên ngành</t>
  </si>
  <si>
    <t>Thực tập giai đoạn 1 (thực tập bệnh viện)</t>
  </si>
  <si>
    <t>Pháp chế dược</t>
  </si>
  <si>
    <t>Đảm bảo chất lượng thuốc</t>
  </si>
  <si>
    <t>Tổ chức quản lý và kinh tế dược</t>
  </si>
  <si>
    <t>Kỹ năng giao tiếp</t>
  </si>
  <si>
    <t>Thực tập giai đoạn 2 (thực tập bệnh viện)</t>
  </si>
  <si>
    <t>Thực tập Nhà thuốc</t>
  </si>
  <si>
    <t>Bảo quản thuốc</t>
  </si>
  <si>
    <t xml:space="preserve">Bào chế đông dược </t>
  </si>
  <si>
    <t>Marketing dược</t>
  </si>
  <si>
    <t>M093K8</t>
  </si>
  <si>
    <t>Thực tập tốt nghiệp</t>
  </si>
  <si>
    <t>Ôn và thi tốt nghiệp</t>
  </si>
  <si>
    <t>Tổng cộng</t>
  </si>
  <si>
    <t>LT</t>
  </si>
  <si>
    <t>TH</t>
  </si>
  <si>
    <t>30% - 50%</t>
  </si>
  <si>
    <t xml:space="preserve">50% - 70% </t>
  </si>
  <si>
    <t>HỌC KỲ</t>
  </si>
  <si>
    <t>1. Học kỳ 1</t>
  </si>
  <si>
    <t>Mã 
MH</t>
  </si>
  <si>
    <t xml:space="preserve">Thực hành/
thực tập/
thí nghiệm/
thảo luận </t>
  </si>
  <si>
    <t>Thi/
Kiểm tra</t>
  </si>
  <si>
    <t>Cộng</t>
  </si>
  <si>
    <t>2. Học kỳ 2</t>
  </si>
  <si>
    <t>3. Học kỳ 3</t>
  </si>
  <si>
    <t>4. Học kỳ 4</t>
  </si>
  <si>
    <t>5. Học kỳ 5</t>
  </si>
  <si>
    <t>6. Học kỳ 6</t>
  </si>
  <si>
    <t>Tổng cổng học kỳ</t>
  </si>
  <si>
    <t>Tổng cộng chương trình</t>
  </si>
  <si>
    <t>KHUNG CHƯƠNG TRÌNH  MÔN HỌC</t>
  </si>
  <si>
    <t>M019K2</t>
  </si>
  <si>
    <t>Số TT</t>
  </si>
  <si>
    <t>Nội dung</t>
  </si>
  <si>
    <t>Thời gian (giờ)</t>
  </si>
  <si>
    <t>Thực hành, thí nghiệm, thảo luận, bài tập</t>
  </si>
  <si>
    <t>Bài mở đầu</t>
  </si>
  <si>
    <t>Chương 1: Khái quát về chủ nghĩa Mác – Lênin</t>
  </si>
  <si>
    <t>Chương 2: Khái quát về tư tưởng Hồ Chí Minh</t>
  </si>
  <si>
    <t>Kiểm tra</t>
  </si>
  <si>
    <t>Chương 3: Những thành tựu của cách mạng Việt Nam dưới sự lãnh đạo của Đảng</t>
  </si>
  <si>
    <t>Chương 4: đặc trưng và phương hướng xây dựng xã hội chủ nghĩa ở việt nam</t>
  </si>
  <si>
    <t>Bài 5: Phát triển kinh tế, xã hội, văn hóa, con người ở Việt Nam</t>
  </si>
  <si>
    <t>Chương 6: Tăng cường quốc phòng an ninh, mở rộng quan hệ đối ngoại và hội nhập quốc tế ở nước ta hiện nay</t>
  </si>
  <si>
    <t>Chương 7: Xây dựng và hoàn thiện nhà nước pháp quyền xã hội chủ nghĩa Việt Nam</t>
  </si>
  <si>
    <t>Chương 8: Phát huy sức mạnh của khối đại đoàn kết toàn dân tộc trong xây dựng, bảo vệ Tổ quốc</t>
  </si>
  <si>
    <t>Chương 9: Tu dưỡng, rèn luyện để trở thành người công dân tốt, người lao động tốt</t>
  </si>
  <si>
    <t>Kiểm tra: Tự luận, thu hoạch, tiểu luận
Thi kết thúc môn học: Tự luận, trắc nghiệm, tiểu luận</t>
  </si>
  <si>
    <t>M020K2</t>
  </si>
  <si>
    <t>Chương 1: Một số vấn đề chung về nhà nước và pháp luật</t>
  </si>
  <si>
    <t>Chương 2: Hiến pháp</t>
  </si>
  <si>
    <t>Chương 3: Pháp luật dân sự</t>
  </si>
  <si>
    <t>Chương 4: Pháp luật Lao động</t>
  </si>
  <si>
    <t>Chương 5: Pháp luật hành chính</t>
  </si>
  <si>
    <t>Chương 6: Pháp luật hình sự</t>
  </si>
  <si>
    <t>Chương 7: Pháp luật phòng, chống tham nhũng</t>
  </si>
  <si>
    <t>Chương 8: Pháp luật bảo vệ quyền lợi người tiêu dùng</t>
  </si>
  <si>
    <t>M001K1</t>
  </si>
  <si>
    <t>Chương I. GIÁO DỤC THỂ CHẤT CHUNG</t>
  </si>
  <si>
    <t>Bài 1. Bài mở đầu</t>
  </si>
  <si>
    <t>Bài 2. Thể dục bài 1</t>
  </si>
  <si>
    <t>Bài 3. Thể dục bài 2</t>
  </si>
  <si>
    <t>Bài 4. Chạy cự ly ngắn</t>
  </si>
  <si>
    <t>Bài 5. Chạy cự ly trung bình</t>
  </si>
  <si>
    <t>Bài 6. Nhảy xa</t>
  </si>
  <si>
    <t>Kiểm tra định kỳ</t>
  </si>
  <si>
    <t>Chương II. CHUYÊN ĐỀ THỂ DỤC THỂ THAO TỰ CHỌN</t>
  </si>
  <si>
    <t>Bài 7. Môn cầu lông</t>
  </si>
  <si>
    <t>Bài 8. Môn bóng bàn</t>
  </si>
  <si>
    <t>Thi kết thúc mô đun</t>
  </si>
  <si>
    <t>Kiểm tra: Thực hành
Thi kết thúc môn học: Vấn đáp và thực hành</t>
  </si>
  <si>
    <t>M008K1</t>
  </si>
  <si>
    <t>Bài 1. Nhập môn Giáo dục quốc phòng và an ninh</t>
  </si>
  <si>
    <t>Bài 2. Phòng chống chiến lược "Diễn biến hòa bình", bạo loạn lật đổ của các thế lực thù địch đối với Việt Nam</t>
  </si>
  <si>
    <t>Bài 3. Xây dựng lực lượng dân quân tự vệ, lực lượng dự bị động viên</t>
  </si>
  <si>
    <t>Bài 4. Xây dựng và bảo vệ chủ quyền lãnh thổ, biên giới quốc gia</t>
  </si>
  <si>
    <t>Bài 5. Một số vấn đề cơ bản về dân tộc và tôn giáo</t>
  </si>
  <si>
    <t>Bài 6. Những vấn đề cơ bản về phòng chống tội phạm và tệ nạn xã hội</t>
  </si>
  <si>
    <t>Bài 7. Đường lối quan điểm của Đảng, chính sách, pháp luật của nhà nước Việt Nam về bảo vệ an ninh chính trị, kinh tế, văn hóa, tư tưởng</t>
  </si>
  <si>
    <t>Bài 8. Chiến tranh nhân dân bảo vệ Tổ quốc Việt Nam xã hội chủ nghĩa</t>
  </si>
  <si>
    <t>Bài 9. Xây dựng lực lượng vũ trang nhân dân Việt Nam</t>
  </si>
  <si>
    <t>Bài 10. Kết hợp phát triển kinh tế - xã hội với tăng cường, củng cố quốc phòng và an ninh</t>
  </si>
  <si>
    <t>Bài 11. Đội ngũ đơn vị</t>
  </si>
  <si>
    <t>Bài 12. Giới thiệu và hướng dẫn kỹ thuật sử dụng một số loại vũ khí bộ binh</t>
  </si>
  <si>
    <t>Bài 13. Kỹ thuật cấp cứu và chuyển thương</t>
  </si>
  <si>
    <t>K6</t>
  </si>
  <si>
    <t>Thi kết thúc môn học</t>
  </si>
  <si>
    <t>M023K3</t>
  </si>
  <si>
    <t>thuyết</t>
  </si>
  <si>
    <t>Unit 1: Nice to meet you!</t>
  </si>
  <si>
    <t>1. Grammar</t>
  </si>
  <si>
    <t>1.1. Verb to be</t>
  </si>
  <si>
    <t>1.2. Possessive adjectives</t>
  </si>
  <si>
    <t>2. Vocabulary</t>
  </si>
  <si>
    <t>2.1. Opposite adjectives</t>
  </si>
  <si>
    <t>2.2. The family</t>
  </si>
  <si>
    <t xml:space="preserve">3. Skills </t>
  </si>
  <si>
    <t>3.1. Reading</t>
  </si>
  <si>
    <t>3.2. Listening</t>
  </si>
  <si>
    <t>3.3. Speaking</t>
  </si>
  <si>
    <t>3.4. Writing</t>
  </si>
  <si>
    <t>Unit 2: Work and family life</t>
  </si>
  <si>
    <t>1.1. He/she/It</t>
  </si>
  <si>
    <t>1.2. Question and negatives</t>
  </si>
  <si>
    <t>2.1. Opposites</t>
  </si>
  <si>
    <t>2.2. Jobs</t>
  </si>
  <si>
    <t>Unit 3: Time off</t>
  </si>
  <si>
    <t>1.1. I/You/We/They</t>
  </si>
  <si>
    <t>2.1. Seasons and months</t>
  </si>
  <si>
    <t xml:space="preserve">2.2. Running/cycling/cooking </t>
  </si>
  <si>
    <t>Unit 4: House and home</t>
  </si>
  <si>
    <t>1.1. There is/There are</t>
  </si>
  <si>
    <t>1.2. Some/any/alot of</t>
  </si>
  <si>
    <t>2.1. Prepositions of place</t>
  </si>
  <si>
    <t xml:space="preserve">2.2. Adjectives for good and bad </t>
  </si>
  <si>
    <t>Unit 5: Super U!</t>
  </si>
  <si>
    <t>1.1. Can/ Can‘t</t>
  </si>
  <si>
    <t>1.2. was/were/could</t>
  </si>
  <si>
    <t>2.1. Noun + noun</t>
  </si>
  <si>
    <t xml:space="preserve">2.2. Verb + noun </t>
  </si>
  <si>
    <t>Unit 6: Lessons in life</t>
  </si>
  <si>
    <t>1.1. Regular verbs</t>
  </si>
  <si>
    <t>1.2. Irregular verbs</t>
  </si>
  <si>
    <t>2.1. –ed adjective</t>
  </si>
  <si>
    <t xml:space="preserve">2.2. –ing adjectives </t>
  </si>
  <si>
    <t>Unit 7: Remember when….</t>
  </si>
  <si>
    <t xml:space="preserve">1.1. Question and negative in past simple </t>
  </si>
  <si>
    <t>1.2. Time expressions</t>
  </si>
  <si>
    <t xml:space="preserve">2.1. Prepositions </t>
  </si>
  <si>
    <t>2.2. Adverbs</t>
  </si>
  <si>
    <t>Unit 8: Love it or hate it!</t>
  </si>
  <si>
    <t>1.1. Count nouns</t>
  </si>
  <si>
    <t>1.2. Uncount nouns</t>
  </si>
  <si>
    <t>2.1. Food and drink</t>
  </si>
  <si>
    <t xml:space="preserve">2.2.  Daily needs </t>
  </si>
  <si>
    <t>Unit 9: Life in the city</t>
  </si>
  <si>
    <t>1.1. have got</t>
  </si>
  <si>
    <t>1.2. Superlative adjectives</t>
  </si>
  <si>
    <t>2.1. Town and country</t>
  </si>
  <si>
    <t xml:space="preserve">2.2. Prepositions of movement </t>
  </si>
  <si>
    <t>Unit 10: What are you up to?</t>
  </si>
  <si>
    <t>1.1. Present simple and present continuous</t>
  </si>
  <si>
    <t>1.2. Whose and Who‘s</t>
  </si>
  <si>
    <t>2.1. Appearance</t>
  </si>
  <si>
    <t xml:space="preserve">2.2. Clothes </t>
  </si>
  <si>
    <t>Unit 11: Going for it!</t>
  </si>
  <si>
    <t>1.1. Going to for future</t>
  </si>
  <si>
    <t>1.2. Infinitive of purpose</t>
  </si>
  <si>
    <t>2.1. Places</t>
  </si>
  <si>
    <t xml:space="preserve">2.2. Activities </t>
  </si>
  <si>
    <t>Thi hết môn</t>
  </si>
  <si>
    <t xml:space="preserve">Kiểm tra: Thảo luận, trắc nghiệm, thực hành mô phỏng, bài tập về nhà, thuyết trình nhóm.
Thi kết thúc môn học: </t>
  </si>
  <si>
    <t>M022K3</t>
  </si>
  <si>
    <t>Bài 1: Tổng quan về công nghệ thông tin, chuyển đổi số</t>
  </si>
  <si>
    <t>1. Kiến thức cơ bản về công nghệ thông tin</t>
  </si>
  <si>
    <t>1.1. Thông tin và xử lý thông tin</t>
  </si>
  <si>
    <t>1.2. Biểu diễn thông tin trên máy tính</t>
  </si>
  <si>
    <t>1.3. Phần cứng</t>
  </si>
  <si>
    <t>1.4. Phần mềm</t>
  </si>
  <si>
    <t>2. Các vấn đề cơ bản trong chuyển đổi số</t>
  </si>
  <si>
    <t>2.1. Chuyển đổi số là gì?</t>
  </si>
  <si>
    <t>2.2. Lợi ích và các tác động của chuyển đổi số</t>
  </si>
  <si>
    <t>2.3. Quan điểm và định hướng phát triển khoa học công nghệ, đổi mới sáng tạo</t>
  </si>
  <si>
    <t>2.4. Công nghệ số và xu hướng hiện nay</t>
  </si>
  <si>
    <t>3. Trí tuệ nhân tạo</t>
  </si>
  <si>
    <t>3.1. Giới thiệu chung</t>
  </si>
  <si>
    <t>3.2. Cơ hội và thách thức</t>
  </si>
  <si>
    <t>3.3. Một số ứng dụng trí tuệ nhân tạo phổ biến</t>
  </si>
  <si>
    <t>3.4. Vấn đề đạo đức và pháp lý khi sử dụng và phát triển AI</t>
  </si>
  <si>
    <t>Bài 2: Sử dụng thiết bị và phần mềm</t>
  </si>
  <si>
    <t>1. Làm việc với hệ điều hành</t>
  </si>
  <si>
    <t>1.1. Khởi động và thoát khỏi Windows</t>
  </si>
  <si>
    <t>1.2. Các thành phần cơ bản của Windows</t>
  </si>
  <si>
    <t>1.3. Làm việc với ứng dụng trên Windows</t>
  </si>
  <si>
    <t>2. Quản lý thư mục và tệp tin</t>
  </si>
  <si>
    <t>2.1. Khái niệm thư mục và tệp tin</t>
  </si>
  <si>
    <t>2.2. Tạo với thư mục và tệp tin</t>
  </si>
  <si>
    <t>2.3. Chọn, sao chép, di chuyển, xoá thư mục và tệp tin</t>
  </si>
  <si>
    <t>2.4. Tìm kiếm thư mục và tệp tin</t>
  </si>
  <si>
    <t>3. Một số phần mềm tiện ích</t>
  </si>
  <si>
    <t>3.1. Phần mềm nén, giải nén tệp tin</t>
  </si>
  <si>
    <t>3.2. Phần mềm diệt virus</t>
  </si>
  <si>
    <t>4. Sử dụng tiếng việt</t>
  </si>
  <si>
    <t>4.1. Các bộ mã tiếng Việt</t>
  </si>
  <si>
    <t>4.2. Cách thức nhập tiếng Việt</t>
  </si>
  <si>
    <t>5. Một số phần mềm chuyên dụng</t>
  </si>
  <si>
    <t>5.1. Phần mềm quản lý hồ sơ sức khoẻ</t>
  </si>
  <si>
    <t>5.2. Phần mềm quản lý bệnh viện</t>
  </si>
  <si>
    <t>5.3. Phần mềm quản lý cửa hàng thuốc</t>
  </si>
  <si>
    <t>Kiểm tra định kỳ lần 1</t>
  </si>
  <si>
    <t>Bài 3: Ứng dụng tin học văn phòng phục vụ tác nghiệp</t>
  </si>
  <si>
    <t>1. Xử lý văn bản cơ bản</t>
  </si>
  <si>
    <t>1.1. Giới thiệu về Microsoft Word</t>
  </si>
  <si>
    <t>1.1. Thao tác với tệp tin văn bản</t>
  </si>
  <si>
    <t>1. Định dạng văn bản</t>
  </si>
  <si>
    <t>1.3. Định dạng đoạn văn</t>
  </si>
  <si>
    <t>1.4. Định dạng theo kiểu Styles</t>
  </si>
  <si>
    <t>1.5. Thao tác các đối tượng với văn bản</t>
  </si>
  <si>
    <t>1.6. Thao tác với máy in</t>
  </si>
  <si>
    <t xml:space="preserve"> Sử dụng bảng tính cơ bản</t>
  </si>
  <si>
    <t>1. Giới thiệu về Microsoft Excel</t>
  </si>
  <si>
    <t xml:space="preserve"> Thao tác với tệp tin bảng tính</t>
  </si>
  <si>
    <t>3. Thao tác với ô</t>
  </si>
  <si>
    <t>4. Làm việc với trang tính</t>
  </si>
  <si>
    <t>5. Định dạng ô, dãy ô</t>
  </si>
  <si>
    <t>6. Biểu thức số học</t>
  </si>
  <si>
    <t>7. Các hàm tính toán cơ bản</t>
  </si>
  <si>
    <t>8. In ấn bảng tính</t>
  </si>
  <si>
    <t>3. Sử dụng trình chiếu cơ bản</t>
  </si>
  <si>
    <t>3.1. Giới thiệu bài thuyết trình</t>
  </si>
  <si>
    <t>3. Giới thiệu về Microsoft PowerPoint</t>
  </si>
  <si>
    <t>3.3. Các thao tác tạo trình chiếu cơ bản</t>
  </si>
  <si>
    <t>3.4. Hiệu ứng hoạt hình</t>
  </si>
  <si>
    <t>3.5. Hiệu ứng chuyển tiếp slide</t>
  </si>
  <si>
    <t>3.6. Cách thực hiện một trình diễn</t>
  </si>
  <si>
    <t>3.7. In bài thuyết trình</t>
  </si>
  <si>
    <t>Kiểm tra định kỳ lần 2</t>
  </si>
  <si>
    <t>Bài 4: Giao tiếp và hợp tác trên mội trường số</t>
  </si>
  <si>
    <t>1. Giao tiếp và làm việc nhóm trực tuyến</t>
  </si>
  <si>
    <t xml:space="preserve">1.1. Sử dụng email và các ứng dụng tin nhắn </t>
  </si>
  <si>
    <t>1.2. Sử dụng các công cụ làm việc nhóm</t>
  </si>
  <si>
    <t>2. Sử dụng dịch vụ số phục vụ nhu cầu cá nhân</t>
  </si>
  <si>
    <t>2.1. Thanh toán không dùng tiền mặt</t>
  </si>
  <si>
    <t>2.2. Thương mại điện tử</t>
  </si>
  <si>
    <t>2.3. Học tập và khám chữa bệnh trực tuyến</t>
  </si>
  <si>
    <t>3. Sử dụng dịch vụ công trực tuyến</t>
  </si>
  <si>
    <t>3.1. Cổng Dịch vụ công Quốc gia</t>
  </si>
  <si>
    <t>3.2. Ứng dụng VNeID</t>
  </si>
  <si>
    <t>Bài 5: Bảo mật dữ liệu và an toàn thông tin</t>
  </si>
  <si>
    <t>1. Bảo vệ dữ liệu và thiết bị</t>
  </si>
  <si>
    <t>1.1. Đặt mật khẩu mạnh</t>
  </si>
  <si>
    <t>1.2. Mã hóa dữ liệu</t>
  </si>
  <si>
    <t>1.3. Phân quyền truy cập</t>
  </si>
  <si>
    <t>1.4. Cài đặt phần mềm diệt virus</t>
  </si>
  <si>
    <t>2. Nhận biết và xử lý các nguy cơ an toàn thông tin</t>
  </si>
  <si>
    <t>2.1. Nhận biết các hành vi vi phạm bảo mật</t>
  </si>
  <si>
    <t>2.2. Xử lý tình huống vi phạm đơn giản.</t>
  </si>
  <si>
    <t>Bài 6: Khai thác công cụ AI phổ thông trong công việc</t>
  </si>
  <si>
    <t>1. Sử dụng công cụ AI để hỗ trợ công việc</t>
  </si>
  <si>
    <t>1.1. Giới thiệu về các công cụ AI phổ thông</t>
  </si>
  <si>
    <t>1.2. Ứng dụng AI trong xử lý văn bản và nội dung</t>
  </si>
  <si>
    <t>2. Đạo đức và bảo mật khi sử dụng AI</t>
  </si>
  <si>
    <t>2.1. Giới hạn và thách thức</t>
  </si>
  <si>
    <t>2.2. Vấn đề đạo đức và pháp lý</t>
  </si>
  <si>
    <t>Kiểm tra: Vấn đáp, thực hành
Thi kết thúc môn học: Thực hành trên máy tính.</t>
  </si>
  <si>
    <t>M024K3</t>
  </si>
  <si>
    <t>Bài 1: Xác suất của biến cố</t>
  </si>
  <si>
    <t>Bài 2: Công thức xác xuất toàn phần</t>
  </si>
  <si>
    <t>Bài 3: Phân phối xác suất thông dụng</t>
  </si>
  <si>
    <t>Bài 4: Tham số mẫu</t>
  </si>
  <si>
    <t>Bài 5: Tương quan hồi quy</t>
  </si>
  <si>
    <t>Kiểm tra: Trắc nghiệm, tự luận, bài tập tính toán
Thi kết thúc môn học: Trắc nghiệm</t>
  </si>
  <si>
    <t>M025K3</t>
  </si>
  <si>
    <t>Bài 1: Vai trò nghiên cứu khoa học, quy trình và chọn vấn đề nghiên cứu</t>
  </si>
  <si>
    <t>Bài 2: Tổng quan và phương pháp nghiên cứu</t>
  </si>
  <si>
    <t>Bài 3: Phương pháp chọn mẫu, cỡ mẫu và thu thập số liệu</t>
  </si>
  <si>
    <t>Bài 4: Phân tích, trình bày số liệu và nghiên cứu thống kê.</t>
  </si>
  <si>
    <t>Bài 5: Viết đề cương, những yếu tố sai lệch kết quả và đạo đức trong nghiên cứu</t>
  </si>
  <si>
    <t>Thi, Kiểm tra</t>
  </si>
  <si>
    <t>Kiểm tra: Trắc nghiệm, bài tập tình huống, bài tiểu luận, thuyết trình đề cương.
Thi kết thúc môn học: Báo cáo thu hoạch.</t>
  </si>
  <si>
    <t>M098K8</t>
  </si>
  <si>
    <t>LÝ THUYẾT</t>
  </si>
  <si>
    <t>Chương 1: Những khái niệm và định luật cơ bản trong hóa học</t>
  </si>
  <si>
    <t>Chương 2: Cấu tạo nguyên tử và Bảng hệ thống tuần hoàn các nguyên tố hóa học</t>
  </si>
  <si>
    <t>Chương 3: Cấu tạo phân tử và liên kết hóa học</t>
  </si>
  <si>
    <t>Chương 4: Phức chất</t>
  </si>
  <si>
    <t>Chương 5: Nhiệt động hóa học</t>
  </si>
  <si>
    <t>Chương 6: Động hóa học và cân bằng hóa học</t>
  </si>
  <si>
    <t>Chương 7: Sự hình thành và tính chất của dung dịch</t>
  </si>
  <si>
    <t>Chương 8: Dung dịch chất điện ly</t>
  </si>
  <si>
    <t xml:space="preserve">Chương 9: Phản ứng oxy khử và hiện tượng ăn mòn kim loại </t>
  </si>
  <si>
    <t>Chương 10: Hóa vô cơ</t>
  </si>
  <si>
    <t>THỰC HÀNH</t>
  </si>
  <si>
    <t>Bài 1: Dụng cụ và các kỹ thuật cơ bản trong phòng thực hành hoá học</t>
  </si>
  <si>
    <t xml:space="preserve">Bài 2: Phương pháp lọc, rửa và cất </t>
  </si>
  <si>
    <r>
      <rPr>
        <sz val="14"/>
        <color rgb="FF000000"/>
        <rFont val="Times New Roman"/>
        <charset val="134"/>
      </rPr>
      <t>Bài 3: Xác định số phân tử nước kết tinh trong CuSO</t>
    </r>
    <r>
      <rPr>
        <vertAlign val="subscript"/>
        <sz val="14"/>
        <color rgb="FF000000"/>
        <rFont val="Times New Roman"/>
        <charset val="134"/>
      </rPr>
      <t>4</t>
    </r>
    <r>
      <rPr>
        <sz val="14"/>
        <color rgb="FF000000"/>
        <rFont val="Times New Roman"/>
        <charset val="134"/>
      </rPr>
      <t>.nH</t>
    </r>
    <r>
      <rPr>
        <vertAlign val="subscript"/>
        <sz val="14"/>
        <color rgb="FF000000"/>
        <rFont val="Times New Roman"/>
        <charset val="134"/>
      </rPr>
      <t>2</t>
    </r>
    <r>
      <rPr>
        <sz val="14"/>
        <color rgb="FF000000"/>
        <rFont val="Times New Roman"/>
        <charset val="134"/>
      </rPr>
      <t>O và kết tinh lại K</t>
    </r>
    <r>
      <rPr>
        <vertAlign val="subscript"/>
        <sz val="14"/>
        <color rgb="FF000000"/>
        <rFont val="Times New Roman"/>
        <charset val="134"/>
      </rPr>
      <t>2</t>
    </r>
    <r>
      <rPr>
        <sz val="14"/>
        <color rgb="FF000000"/>
        <rFont val="Times New Roman"/>
        <charset val="134"/>
      </rPr>
      <t>Cr</t>
    </r>
    <r>
      <rPr>
        <vertAlign val="subscript"/>
        <sz val="14"/>
        <color rgb="FF000000"/>
        <rFont val="Times New Roman"/>
        <charset val="134"/>
      </rPr>
      <t>2</t>
    </r>
    <r>
      <rPr>
        <sz val="14"/>
        <color rgb="FF000000"/>
        <rFont val="Times New Roman"/>
        <charset val="134"/>
      </rPr>
      <t>O</t>
    </r>
    <r>
      <rPr>
        <vertAlign val="subscript"/>
        <sz val="14"/>
        <color rgb="FF000000"/>
        <rFont val="Times New Roman"/>
        <charset val="134"/>
      </rPr>
      <t>7</t>
    </r>
  </si>
  <si>
    <t>Bài 4: Nồng độ dung dịch và cách xác định nồng độ dung dịch</t>
  </si>
  <si>
    <t>Bài 5: Tốc độ phản ứng và các yếu tố ảnh hưởng tới tốc độ phản ứng</t>
  </si>
  <si>
    <t>Bài 6: Xác định các cation trong các hợp chất vô cơ</t>
  </si>
  <si>
    <t>Bài 7: Xác định các anion trong các hợp chất vô cơ</t>
  </si>
  <si>
    <t xml:space="preserve">Thi, kiểm tra </t>
  </si>
  <si>
    <t>Kiểm tra: Vấn đáp, tự luận, giải bài tập; hoàn thành các thực nghiệm được yêu cầu.
Thi hết môn học: Vấn đáp, thực hành</t>
  </si>
  <si>
    <t>M031K4</t>
  </si>
  <si>
    <t>Bài 1. Đại cương sinh học và di truyền</t>
  </si>
  <si>
    <t>Bài 2. Tế bào</t>
  </si>
  <si>
    <t>Sự vận chuyển các chất qua màng tế bào</t>
  </si>
  <si>
    <t>Bài 3. Phôi thai</t>
  </si>
  <si>
    <t>Bài 4. Nhiễm sắc thể</t>
  </si>
  <si>
    <t>Kiểm tra định kỳ</t>
  </si>
  <si>
    <t>Bài 5. Di truyền phân tử</t>
  </si>
  <si>
    <t>Bài 6. Quy luật di truyền</t>
  </si>
  <si>
    <t>Qúa trình phát triển cá thể ở người</t>
  </si>
  <si>
    <t>Kiểm tra: Tự luận, trắc nghiệm, vấn đáp;
Thi kết thúc môn học: Tự luận.</t>
  </si>
  <si>
    <t>M035K4</t>
  </si>
  <si>
    <t>Bài 1. Nhập môn Giải phẫu học</t>
  </si>
  <si>
    <t xml:space="preserve">Bài 2. Giải phẫu, sinh lý Hệ xương và khớp </t>
  </si>
  <si>
    <t>Bài 3. Giải phẫu, sinh lý Cơ vùng đầu- mặt-cổ</t>
  </si>
  <si>
    <t>Bài 4. Giải phẫu, sinh lý hệ tuần hoàn</t>
  </si>
  <si>
    <t>Bài 5. Sinh lý máu</t>
  </si>
  <si>
    <t>Bài 6. Giải phẫu, sinh lý hệ hô hấp</t>
  </si>
  <si>
    <t>Bài 7. Giải phẫu, sinh lý hệ tiêu hóa</t>
  </si>
  <si>
    <t>Bài 8. Giải phẫu, sinh lý hệ tiết niệu</t>
  </si>
  <si>
    <t>Bài 9. Giải phẫu, sinh lý hệ sinh dục</t>
  </si>
  <si>
    <t>Bài 10. Giải phẫu, sinh lý hệ thần kinh</t>
  </si>
  <si>
    <t>Bài 11. Giải phẫu, sinh lý hệ nội tiết</t>
  </si>
  <si>
    <t xml:space="preserve">Bài 12. Giải phẫu, sinh lý hệ giác quan </t>
  </si>
  <si>
    <t xml:space="preserve">Bài 13. Giải phẫu Chi trên </t>
  </si>
  <si>
    <t xml:space="preserve">Bài 14. Giải phẫu Chi dưới </t>
  </si>
  <si>
    <t>Thi kết thúc mô đun lý thuyết</t>
  </si>
  <si>
    <t>Kiểm tra: Tự luận, vấn đáp, trắc nghiệm, thực hành.
Thi kết thúc môn học: Thi chạy trạm giải phẫu - Sinh lý</t>
  </si>
  <si>
    <t>M029K4</t>
  </si>
  <si>
    <t>CHƯƠNG 1: VI SINH VẬT</t>
  </si>
  <si>
    <t>Bài 1. Đại cương vi sinh vật y học</t>
  </si>
  <si>
    <t>Bài 2 .Tụ cầu khuẩn</t>
  </si>
  <si>
    <t>Bài 3. Liên cầu khuẩn</t>
  </si>
  <si>
    <t>Bài 4. Lậu cầu khuẩn</t>
  </si>
  <si>
    <t>Bài 5. Phế cầu khuẩn</t>
  </si>
  <si>
    <t>Bài 6. Não mô cầu</t>
  </si>
  <si>
    <t>Bài 7. Phẩy khuẩn tả</t>
  </si>
  <si>
    <t>Bài 8. Trực khuẩn lỵ</t>
  </si>
  <si>
    <t>Bài 9. Trực khuẩn thương hàn</t>
  </si>
  <si>
    <t>Bài 10. Trực khuẩn uốn ván</t>
  </si>
  <si>
    <t>Bài 11. Trực khuẩn lao</t>
  </si>
  <si>
    <t>CHƯƠNG 2: MIỄN DỊCH HỌC</t>
  </si>
  <si>
    <t>Bài 1. Các khái niệm về miễn dịch</t>
  </si>
  <si>
    <t>Bài  2.  Dị ứng quá mẫn, vaccin-kháng huyết thanh</t>
  </si>
  <si>
    <t>III</t>
  </si>
  <si>
    <t>CHƯƠNG 3: VIRUS HỌC</t>
  </si>
  <si>
    <t>Bài 1. Đại cương virus</t>
  </si>
  <si>
    <t>Bài  2. Virus cúm</t>
  </si>
  <si>
    <t>Bài 3. Virus viêm gan</t>
  </si>
  <si>
    <t>Bài 4.  Virus dại</t>
  </si>
  <si>
    <t>Bài 5.  Virus dengue</t>
  </si>
  <si>
    <t>Bài 6.  Virus hiv</t>
  </si>
  <si>
    <t>IV</t>
  </si>
  <si>
    <t>CHƯƠNG 4: KÝ SINH TRÙNG Y HỌC</t>
  </si>
  <si>
    <t>Bài 1. Đại cương kst y học</t>
  </si>
  <si>
    <t>Bài 2. Giun đũa</t>
  </si>
  <si>
    <t>Bài 3. Giun móc</t>
  </si>
  <si>
    <t>Bài 4. Giun kim</t>
  </si>
  <si>
    <t>Bài 5. Giun lươn</t>
  </si>
  <si>
    <t>Bài 6. Sán dải heo, sán lá gan</t>
  </si>
  <si>
    <t>Bài 7. Lỵ amip</t>
  </si>
  <si>
    <t>Bài 8. Ký sinh trùng sốt rét</t>
  </si>
  <si>
    <t xml:space="preserve">       Kiểm tra định kỳ </t>
  </si>
  <si>
    <t>PHẦN THỰC HÀNH</t>
  </si>
  <si>
    <t>Bài 1. Sử dụng kính hiển vi, xem hình thể một số vi khuẩn, kỹ thuật nhuộm Gram</t>
  </si>
  <si>
    <t>Bài 2. Xem hình thể KST đường ruột, làm tiêu bản phân</t>
  </si>
  <si>
    <t xml:space="preserve">Bài 3. Xem hình thể KST sốt rét; làm tiêu bản máu            </t>
  </si>
  <si>
    <t xml:space="preserve">Bài 4. Kỹ thuật kháng sinh đồ, nhận dạng vaccin, huyết thanh, </t>
  </si>
  <si>
    <t>Thi kết thúc học phần</t>
  </si>
  <si>
    <t>Bài 2. Kỹ thuật nhuộm Gram</t>
  </si>
  <si>
    <t xml:space="preserve">Bài 3. Kỹ thuật kháng sinh đồ, nhận dạng vaccin, huyết thanh, </t>
  </si>
  <si>
    <t>Bài 4. Xem hình thể KST đường ruột, làm tiêu bản phân</t>
  </si>
  <si>
    <t xml:space="preserve">Bài 5. Xem hình thể KST sốt rét; làm tiêu bản máu            </t>
  </si>
  <si>
    <t>Kiểm tra: Trắc nghiệm, tự luận, đọc hình ảnh
Thi kết thúc môn học: Trắc nghiệm, quan sát và nhận diện</t>
  </si>
  <si>
    <t>M033K4</t>
  </si>
  <si>
    <t>Bài 1. Đại cương Hóa sinh</t>
  </si>
  <si>
    <t xml:space="preserve">Bài 2. Hóa sinh enzym </t>
  </si>
  <si>
    <t>Bài 3. Hóa sinh glucid</t>
  </si>
  <si>
    <t>Bài 4. Hoá sinh lipid</t>
  </si>
  <si>
    <t>Bài 5. Hóa sinh protid</t>
  </si>
  <si>
    <t>Bài 6. Oxy hóa sinh học</t>
  </si>
  <si>
    <t>Bài 7. Hóa sinh hormon</t>
  </si>
  <si>
    <t>Bài 8. Hóa sinh gan mật</t>
  </si>
  <si>
    <t>Bài 9. Hóa sinh thận và nước tiểu</t>
  </si>
  <si>
    <t>Bài 10. Hoá sinh máu và các dịch sinh học</t>
  </si>
  <si>
    <t>Bài 11. Hóa sinh muối - nước</t>
  </si>
  <si>
    <t>Bài 12. Hóa sinh cân bằng acid - base</t>
  </si>
  <si>
    <t>Kiểm tra: Tự luận, trắc nghiệm, vấn đáp.
Thi kết thúc môn học: Trắc nghiệm.</t>
  </si>
  <si>
    <t>M067K6</t>
  </si>
  <si>
    <t>Bài 1. Quá trình dịch</t>
  </si>
  <si>
    <t xml:space="preserve">Bài 2. Phòng chống đặc hiệu bằng vắc xin và huyết thanh </t>
  </si>
  <si>
    <t>Bài 3. Dịch tễ học bệnh truyền nhiễm đường tiêu hóa</t>
  </si>
  <si>
    <t>Bài 4. Dịch tễ học bệnh truyền nhiễm đường hô hấp</t>
  </si>
  <si>
    <t>Bài 5. Dịch tễ học bệnh truyền nhiễm đường máu</t>
  </si>
  <si>
    <t>Bài 6. Dịch tễ học bệnh truyền nhiễm đường da, niêm mạc</t>
  </si>
  <si>
    <t xml:space="preserve">Bài 7. Phòng chống bệnh lỵ trực khuẩn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</si>
  <si>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Bài 8. Phòng chống bệnh tả</t>
  </si>
  <si>
    <t>Bài 9. Phòng chống bệnh nhiễm khuẩn Màng não cầu</t>
  </si>
  <si>
    <t xml:space="preserve">Bài 10. Phòng chống bệnh cúm </t>
  </si>
  <si>
    <t>Bài 11. Phòng chống bệnh viêm não Nhật Bản</t>
  </si>
  <si>
    <t>Bài 12: Phòng chống bệnh sốt rét</t>
  </si>
  <si>
    <t>Bài 13. Phòng chống dịch bệnh sốt xuất huyết</t>
  </si>
  <si>
    <t>Bài 14. Vũ khí sinh học</t>
  </si>
  <si>
    <t>Bài 15. Vệ sinh môi trường không khí</t>
  </si>
  <si>
    <t xml:space="preserve">Bài 16. Vệ sinh môi trường nước </t>
  </si>
  <si>
    <t>Bài 17. Quản lý chất thải sinh hoạt</t>
  </si>
  <si>
    <t>Bài 18. Vệ sinh lao động, bệnh nghề nghiệp</t>
  </si>
  <si>
    <t>Bài 19. Nhu cầu năng lượng, vệ sinh ăn uống</t>
  </si>
  <si>
    <t>Bài 20. Nhu cầu dinh dưỡng, vệ sinh an toàn thực phẩm</t>
  </si>
  <si>
    <t>Bài 21. Vệ sinh nhà ăn</t>
  </si>
  <si>
    <t>Thi hết môn học</t>
  </si>
  <si>
    <t xml:space="preserve">Kiểm tra: Tự luận, trắc nghiệm, thực hành.
Thi kết thúc môn học: Tự luận hoặc trắc nghiệm. </t>
  </si>
  <si>
    <t>M055K6</t>
  </si>
  <si>
    <t>Bài 1. Tiếp cận và đánh giá bước đầu</t>
  </si>
  <si>
    <t>Bài 2. Băng vết thương</t>
  </si>
  <si>
    <t>Bài 3. Cầm máu tạm thời</t>
  </si>
  <si>
    <t>Bài 4. Kiểm soát đường thở</t>
  </si>
  <si>
    <t>Bài 5. Hỗ trợ hô hấp</t>
  </si>
  <si>
    <t>Bài 6. Cấp cứu ngừng tuần hoàn, ngừng hô hấp</t>
  </si>
  <si>
    <t>Bài 7. Cố định tạm thời gãy xương</t>
  </si>
  <si>
    <t>Bài 8. Vận chuyển nạn nhân</t>
  </si>
  <si>
    <t xml:space="preserve">Bài 9. Kỹ thuật băng vết thương </t>
  </si>
  <si>
    <t>Bài 10. Kỹ thuật cầm máu tạm thời</t>
  </si>
  <si>
    <t>Bài 11. Kỹ thuật kiểm soát đường thở</t>
  </si>
  <si>
    <t>Bài 12. Kỹ thuật hỗ trợ hô hấp</t>
  </si>
  <si>
    <t>Bài 13. Kỹ thuật cấp cứu ngừng tuần hoàn, ngưng hô hấp</t>
  </si>
  <si>
    <t>Bài 14. Kỹ thuật cố định tạm thời gãy xương</t>
  </si>
  <si>
    <t>Bài 15. Kỹ thuật vận chuyển nạn nhân</t>
  </si>
  <si>
    <t>Bài 16. Tổng hợp các kỹ thuật</t>
  </si>
  <si>
    <t>Thi kết thúc môn</t>
  </si>
  <si>
    <t>Kiểm tra: Hỏi đáp, trắc nghiệm, tự luận, thực hành
Thi kết thúc môn học: Thực hành</t>
  </si>
  <si>
    <t>M050K5</t>
  </si>
  <si>
    <t>Bài mở đầu: Một số khái niệm dùng trong môn học</t>
  </si>
  <si>
    <t>Chương 1: Các bệnh hô hấp</t>
  </si>
  <si>
    <t>Bài 2: Viêm phế quản cấp</t>
  </si>
  <si>
    <t>Bài 3: Viêm phế quản mạn</t>
  </si>
  <si>
    <t>Bài 4: Viêm phổi</t>
  </si>
  <si>
    <t>Bài 5: Hen phế quản</t>
  </si>
  <si>
    <t>Chương 2: Các bệnh tim mạch</t>
  </si>
  <si>
    <t>Bài 1: Đại cương bệnh lý hệ tim mạch</t>
  </si>
  <si>
    <t>Bài 2: Suy tim</t>
  </si>
  <si>
    <t>Bài 3: Tăng huyết áp</t>
  </si>
  <si>
    <t>Chương 3: Các bệnh hệ tiêu hóa</t>
  </si>
  <si>
    <t>Bài 1: Đại cương bệnh lý hệ tiêu hoá</t>
  </si>
  <si>
    <t>Bài 2: Loét dạ dày tá tràng</t>
  </si>
  <si>
    <t>Bài 3: Viêm gan virus</t>
  </si>
  <si>
    <t>Bài 4: Tiêu chảy và táo bón</t>
  </si>
  <si>
    <t>Bài 5: Các bệnh nhiễm khuẩn tiêu hóa</t>
  </si>
  <si>
    <t>Chương 5: Các bệnh tiết niệu</t>
  </si>
  <si>
    <t>Bài 1: Đại cương bệnh lý hệ tiết niệu</t>
  </si>
  <si>
    <t>Bài 2: Viêm cầu thận cấp</t>
  </si>
  <si>
    <t>Bài 3: Sỏi tiết niệu</t>
  </si>
  <si>
    <t>Bài 4: Nhiễm khuẩn tiết niệu</t>
  </si>
  <si>
    <t>Chương 6: Các bệnh nội tiết</t>
  </si>
  <si>
    <t>Bài 1: Đái tháo đường</t>
  </si>
  <si>
    <t>Chương 7: Các bệnh máu và cơ quan tạo máu</t>
  </si>
  <si>
    <t>Bài 1: Đại cương bệnh máu và cơ quan tạo máu</t>
  </si>
  <si>
    <t>Bài 2: Hội chứng thiếu máu</t>
  </si>
  <si>
    <t>Bài 3: Thiếu máu do thiếu sắt</t>
  </si>
  <si>
    <t>Bài 4: Hội chứng xuất huyết</t>
  </si>
  <si>
    <t>Chương 7: Các bệnh lây truyền qua đường tình dục</t>
  </si>
  <si>
    <t>Bài 1: Đại cương bệnh lây truyền qua đường tình dục</t>
  </si>
  <si>
    <t>Bài 2: Bệnh lậu</t>
  </si>
  <si>
    <t>Bài 3: Bệnh giang mai</t>
  </si>
  <si>
    <t>Bài 4: HIV/AIDS</t>
  </si>
  <si>
    <t>Ôn thi, kiểm tra</t>
  </si>
  <si>
    <t>Kiểm tra: Hỏi đáp, trắc nghiệm, tự luận, thao tác khám lâm sàng
Thi kết thúc môn học: Trắc nghiệm</t>
  </si>
  <si>
    <t>M100K8</t>
  </si>
  <si>
    <t>Chương 1: Đại cương về hóa học phân tích</t>
  </si>
  <si>
    <t>Chương 2: Phân tích định tính</t>
  </si>
  <si>
    <t>Bài 1: Đại cương về hóa học phân tích định tính</t>
  </si>
  <si>
    <r>
      <rPr>
        <sz val="14"/>
        <color theme="1"/>
        <rFont val="Times New Roman"/>
        <charset val="134"/>
      </rPr>
      <t>Bài 2: Xác định các cation nhóm I (Ag</t>
    </r>
    <r>
      <rPr>
        <vertAlign val="superscript"/>
        <sz val="14"/>
        <color theme="1"/>
        <rFont val="Times New Roman"/>
        <charset val="134"/>
      </rPr>
      <t>+</t>
    </r>
    <r>
      <rPr>
        <sz val="14"/>
        <color theme="1"/>
        <rFont val="Times New Roman"/>
        <charset val="134"/>
      </rPr>
      <t>, Pb</t>
    </r>
    <r>
      <rPr>
        <vertAlign val="superscript"/>
        <sz val="14"/>
        <color theme="1"/>
        <rFont val="Times New Roman"/>
        <charset val="134"/>
      </rPr>
      <t>2+</t>
    </r>
    <r>
      <rPr>
        <sz val="14"/>
        <color theme="1"/>
        <rFont val="Times New Roman"/>
        <charset val="134"/>
      </rPr>
      <t>, Hg</t>
    </r>
    <r>
      <rPr>
        <vertAlign val="subscript"/>
        <sz val="14"/>
        <color theme="1"/>
        <rFont val="Times New Roman"/>
        <charset val="134"/>
      </rPr>
      <t>2</t>
    </r>
    <r>
      <rPr>
        <vertAlign val="superscript"/>
        <sz val="14"/>
        <color theme="1"/>
        <rFont val="Times New Roman"/>
        <charset val="134"/>
      </rPr>
      <t>2+</t>
    </r>
    <r>
      <rPr>
        <sz val="14"/>
        <color theme="1"/>
        <rFont val="Times New Roman"/>
        <charset val="134"/>
      </rPr>
      <t>)</t>
    </r>
  </si>
  <si>
    <r>
      <rPr>
        <sz val="14"/>
        <color theme="1"/>
        <rFont val="Times New Roman"/>
        <charset val="134"/>
      </rPr>
      <t>Bài 3: Xác định các cation nhóm II (Ba</t>
    </r>
    <r>
      <rPr>
        <vertAlign val="superscript"/>
        <sz val="14"/>
        <color theme="1"/>
        <rFont val="Times New Roman"/>
        <charset val="134"/>
      </rPr>
      <t>2+</t>
    </r>
    <r>
      <rPr>
        <sz val="14"/>
        <color theme="1"/>
        <rFont val="Times New Roman"/>
        <charset val="134"/>
      </rPr>
      <t>, Ca</t>
    </r>
    <r>
      <rPr>
        <vertAlign val="superscript"/>
        <sz val="14"/>
        <color theme="1"/>
        <rFont val="Times New Roman"/>
        <charset val="134"/>
      </rPr>
      <t>2+</t>
    </r>
    <r>
      <rPr>
        <sz val="14"/>
        <color theme="1"/>
        <rFont val="Times New Roman"/>
        <charset val="134"/>
      </rPr>
      <t>)</t>
    </r>
  </si>
  <si>
    <r>
      <rPr>
        <sz val="14"/>
        <color theme="1"/>
        <rFont val="Times New Roman"/>
        <charset val="134"/>
      </rPr>
      <t>Bài 4: Xác định các cation nhóm III (Zn</t>
    </r>
    <r>
      <rPr>
        <vertAlign val="superscript"/>
        <sz val="14"/>
        <color theme="1"/>
        <rFont val="Times New Roman"/>
        <charset val="134"/>
      </rPr>
      <t>2+</t>
    </r>
    <r>
      <rPr>
        <sz val="14"/>
        <color theme="1"/>
        <rFont val="Times New Roman"/>
        <charset val="134"/>
      </rPr>
      <t>, Al</t>
    </r>
    <r>
      <rPr>
        <vertAlign val="superscript"/>
        <sz val="14"/>
        <color theme="1"/>
        <rFont val="Times New Roman"/>
        <charset val="134"/>
      </rPr>
      <t>3+</t>
    </r>
    <r>
      <rPr>
        <sz val="14"/>
        <color theme="1"/>
        <rFont val="Times New Roman"/>
        <charset val="134"/>
      </rPr>
      <t>)</t>
    </r>
  </si>
  <si>
    <r>
      <rPr>
        <sz val="14"/>
        <color theme="1"/>
        <rFont val="Times New Roman"/>
        <charset val="134"/>
      </rPr>
      <t>Bài 5: Xác định các cation nhóm IV (Fe</t>
    </r>
    <r>
      <rPr>
        <vertAlign val="superscript"/>
        <sz val="14"/>
        <color theme="1"/>
        <rFont val="Times New Roman"/>
        <charset val="134"/>
      </rPr>
      <t>2+</t>
    </r>
    <r>
      <rPr>
        <sz val="14"/>
        <color theme="1"/>
        <rFont val="Times New Roman"/>
        <charset val="134"/>
      </rPr>
      <t>, Fe</t>
    </r>
    <r>
      <rPr>
        <vertAlign val="superscript"/>
        <sz val="14"/>
        <color theme="1"/>
        <rFont val="Times New Roman"/>
        <charset val="134"/>
      </rPr>
      <t>3+</t>
    </r>
    <r>
      <rPr>
        <sz val="14"/>
        <color theme="1"/>
        <rFont val="Times New Roman"/>
        <charset val="134"/>
      </rPr>
      <t>, Bi</t>
    </r>
    <r>
      <rPr>
        <vertAlign val="superscript"/>
        <sz val="14"/>
        <color theme="1"/>
        <rFont val="Times New Roman"/>
        <charset val="134"/>
      </rPr>
      <t>3+</t>
    </r>
    <r>
      <rPr>
        <sz val="14"/>
        <color theme="1"/>
        <rFont val="Times New Roman"/>
        <charset val="134"/>
      </rPr>
      <t>, Mg</t>
    </r>
    <r>
      <rPr>
        <vertAlign val="superscript"/>
        <sz val="14"/>
        <color theme="1"/>
        <rFont val="Times New Roman"/>
        <charset val="134"/>
      </rPr>
      <t>2+</t>
    </r>
    <r>
      <rPr>
        <sz val="14"/>
        <color theme="1"/>
        <rFont val="Times New Roman"/>
        <charset val="134"/>
      </rPr>
      <t>)</t>
    </r>
  </si>
  <si>
    <r>
      <rPr>
        <sz val="14"/>
        <color theme="1"/>
        <rFont val="Times New Roman"/>
        <charset val="134"/>
      </rPr>
      <t>Bài 6: Xác định các cation nhóm V (Cu</t>
    </r>
    <r>
      <rPr>
        <vertAlign val="superscript"/>
        <sz val="14"/>
        <color theme="1"/>
        <rFont val="Times New Roman"/>
        <charset val="134"/>
      </rPr>
      <t>2+</t>
    </r>
    <r>
      <rPr>
        <sz val="14"/>
        <color theme="1"/>
        <rFont val="Times New Roman"/>
        <charset val="134"/>
      </rPr>
      <t>, Hg</t>
    </r>
    <r>
      <rPr>
        <vertAlign val="superscript"/>
        <sz val="14"/>
        <color theme="1"/>
        <rFont val="Times New Roman"/>
        <charset val="134"/>
      </rPr>
      <t>2+</t>
    </r>
    <r>
      <rPr>
        <sz val="14"/>
        <color theme="1"/>
        <rFont val="Times New Roman"/>
        <charset val="134"/>
      </rPr>
      <t>)</t>
    </r>
  </si>
  <si>
    <r>
      <rPr>
        <sz val="14"/>
        <color theme="1"/>
        <rFont val="Times New Roman"/>
        <charset val="134"/>
      </rPr>
      <t>Bài 7: Xác định các cation nhóm VI (Na</t>
    </r>
    <r>
      <rPr>
        <vertAlign val="superscript"/>
        <sz val="14"/>
        <color theme="1"/>
        <rFont val="Times New Roman"/>
        <charset val="134"/>
      </rPr>
      <t>+</t>
    </r>
    <r>
      <rPr>
        <sz val="14"/>
        <color theme="1"/>
        <rFont val="Times New Roman"/>
        <charset val="134"/>
      </rPr>
      <t>, K</t>
    </r>
    <r>
      <rPr>
        <vertAlign val="superscript"/>
        <sz val="14"/>
        <color theme="1"/>
        <rFont val="Times New Roman"/>
        <charset val="134"/>
      </rPr>
      <t>+</t>
    </r>
    <r>
      <rPr>
        <sz val="14"/>
        <color theme="1"/>
        <rFont val="Times New Roman"/>
        <charset val="134"/>
      </rPr>
      <t>, NH</t>
    </r>
    <r>
      <rPr>
        <vertAlign val="subscript"/>
        <sz val="14"/>
        <color theme="1"/>
        <rFont val="Times New Roman"/>
        <charset val="134"/>
      </rPr>
      <t>4</t>
    </r>
    <r>
      <rPr>
        <vertAlign val="superscript"/>
        <sz val="14"/>
        <color theme="1"/>
        <rFont val="Times New Roman"/>
        <charset val="134"/>
      </rPr>
      <t>+</t>
    </r>
    <r>
      <rPr>
        <sz val="14"/>
        <color theme="1"/>
        <rFont val="Times New Roman"/>
        <charset val="134"/>
      </rPr>
      <t>)</t>
    </r>
  </si>
  <si>
    <r>
      <rPr>
        <sz val="14"/>
        <color theme="1"/>
        <rFont val="Times New Roman"/>
        <charset val="134"/>
      </rPr>
      <t>Bài 8: Xác định các anion nhóm I (Cl</t>
    </r>
    <r>
      <rPr>
        <vertAlign val="superscript"/>
        <sz val="14"/>
        <color theme="1"/>
        <rFont val="Times New Roman"/>
        <charset val="134"/>
      </rPr>
      <t>-</t>
    </r>
    <r>
      <rPr>
        <sz val="14"/>
        <color theme="1"/>
        <rFont val="Times New Roman"/>
        <charset val="134"/>
      </rPr>
      <t>, Br</t>
    </r>
    <r>
      <rPr>
        <vertAlign val="superscript"/>
        <sz val="14"/>
        <color theme="1"/>
        <rFont val="Times New Roman"/>
        <charset val="134"/>
      </rPr>
      <t>-</t>
    </r>
    <r>
      <rPr>
        <sz val="14"/>
        <color theme="1"/>
        <rFont val="Times New Roman"/>
        <charset val="134"/>
      </rPr>
      <t>, I</t>
    </r>
    <r>
      <rPr>
        <vertAlign val="superscript"/>
        <sz val="14"/>
        <color theme="1"/>
        <rFont val="Times New Roman"/>
        <charset val="134"/>
      </rPr>
      <t>-</t>
    </r>
    <r>
      <rPr>
        <sz val="14"/>
        <color theme="1"/>
        <rFont val="Times New Roman"/>
        <charset val="134"/>
      </rPr>
      <t>, SCN</t>
    </r>
    <r>
      <rPr>
        <vertAlign val="superscript"/>
        <sz val="14"/>
        <color theme="1"/>
        <rFont val="Times New Roman"/>
        <charset val="134"/>
      </rPr>
      <t>-</t>
    </r>
    <r>
      <rPr>
        <sz val="14"/>
        <color theme="1"/>
        <rFont val="Times New Roman"/>
        <charset val="134"/>
      </rPr>
      <t>, S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Times New Roman"/>
        <charset val="134"/>
      </rPr>
      <t>O</t>
    </r>
    <r>
      <rPr>
        <vertAlign val="subscript"/>
        <sz val="14"/>
        <color theme="1"/>
        <rFont val="Times New Roman"/>
        <charset val="134"/>
      </rPr>
      <t>3</t>
    </r>
    <r>
      <rPr>
        <vertAlign val="superscript"/>
        <sz val="14"/>
        <color theme="1"/>
        <rFont val="Times New Roman"/>
        <charset val="134"/>
      </rPr>
      <t>2-</t>
    </r>
    <r>
      <rPr>
        <sz val="14"/>
        <color theme="1"/>
        <rFont val="Times New Roman"/>
        <charset val="134"/>
      </rPr>
      <t>)</t>
    </r>
  </si>
  <si>
    <t>1. Tính chất chung</t>
  </si>
  <si>
    <t>2. Thuốc thử nhóm</t>
  </si>
  <si>
    <t>3. Thuốc thử cation</t>
  </si>
  <si>
    <r>
      <rPr>
        <sz val="14"/>
        <color theme="1"/>
        <rFont val="Times New Roman"/>
        <charset val="134"/>
      </rPr>
      <t>Bài 9: Xác định các anion nhóm II (CO</t>
    </r>
    <r>
      <rPr>
        <vertAlign val="subscript"/>
        <sz val="14"/>
        <color theme="1"/>
        <rFont val="Times New Roman"/>
        <charset val="134"/>
      </rPr>
      <t>3</t>
    </r>
    <r>
      <rPr>
        <vertAlign val="superscript"/>
        <sz val="14"/>
        <color theme="1"/>
        <rFont val="Times New Roman"/>
        <charset val="134"/>
      </rPr>
      <t>2-</t>
    </r>
    <r>
      <rPr>
        <sz val="14"/>
        <color theme="1"/>
        <rFont val="Times New Roman"/>
        <charset val="134"/>
      </rPr>
      <t>, PO</t>
    </r>
    <r>
      <rPr>
        <vertAlign val="subscript"/>
        <sz val="14"/>
        <color theme="1"/>
        <rFont val="Times New Roman"/>
        <charset val="134"/>
      </rPr>
      <t>4</t>
    </r>
    <r>
      <rPr>
        <vertAlign val="superscript"/>
        <sz val="14"/>
        <color theme="1"/>
        <rFont val="Times New Roman"/>
        <charset val="134"/>
      </rPr>
      <t>3-</t>
    </r>
    <r>
      <rPr>
        <sz val="14"/>
        <color theme="1"/>
        <rFont val="Times New Roman"/>
        <charset val="134"/>
      </rPr>
      <t>, AsO</t>
    </r>
    <r>
      <rPr>
        <vertAlign val="subscript"/>
        <sz val="14"/>
        <color theme="1"/>
        <rFont val="Times New Roman"/>
        <charset val="134"/>
      </rPr>
      <t>3</t>
    </r>
    <r>
      <rPr>
        <vertAlign val="superscript"/>
        <sz val="14"/>
        <color theme="1"/>
        <rFont val="Times New Roman"/>
        <charset val="134"/>
      </rPr>
      <t>3-</t>
    </r>
    <r>
      <rPr>
        <sz val="14"/>
        <color theme="1"/>
        <rFont val="Times New Roman"/>
        <charset val="134"/>
      </rPr>
      <t>, AsO</t>
    </r>
    <r>
      <rPr>
        <vertAlign val="subscript"/>
        <sz val="14"/>
        <color theme="1"/>
        <rFont val="Times New Roman"/>
        <charset val="134"/>
      </rPr>
      <t>4</t>
    </r>
    <r>
      <rPr>
        <vertAlign val="superscript"/>
        <sz val="14"/>
        <color theme="1"/>
        <rFont val="Times New Roman"/>
        <charset val="134"/>
      </rPr>
      <t>3-</t>
    </r>
    <r>
      <rPr>
        <sz val="14"/>
        <color theme="1"/>
        <rFont val="Times New Roman"/>
        <charset val="134"/>
      </rPr>
      <t>, SO</t>
    </r>
    <r>
      <rPr>
        <vertAlign val="subscript"/>
        <sz val="14"/>
        <color theme="1"/>
        <rFont val="Times New Roman"/>
        <charset val="134"/>
      </rPr>
      <t>3</t>
    </r>
    <r>
      <rPr>
        <vertAlign val="superscript"/>
        <sz val="14"/>
        <color theme="1"/>
        <rFont val="Times New Roman"/>
        <charset val="134"/>
      </rPr>
      <t>2-</t>
    </r>
    <r>
      <rPr>
        <sz val="14"/>
        <color theme="1"/>
        <rFont val="Times New Roman"/>
        <charset val="134"/>
      </rPr>
      <t>, SO</t>
    </r>
    <r>
      <rPr>
        <vertAlign val="subscript"/>
        <sz val="14"/>
        <color theme="1"/>
        <rFont val="Times New Roman"/>
        <charset val="134"/>
      </rPr>
      <t>4</t>
    </r>
    <r>
      <rPr>
        <vertAlign val="superscript"/>
        <sz val="14"/>
        <color theme="1"/>
        <rFont val="Times New Roman"/>
        <charset val="134"/>
      </rPr>
      <t>2-</t>
    </r>
    <r>
      <rPr>
        <sz val="14"/>
        <color theme="1"/>
        <rFont val="Times New Roman"/>
        <charset val="134"/>
      </rPr>
      <t>)</t>
    </r>
  </si>
  <si>
    <t>Bài 10: Phân tích hỗn hợp cation – anion trong dung dịch</t>
  </si>
  <si>
    <t>Chương 3: Phân tích định lượng</t>
  </si>
  <si>
    <t>Bài 1: Đại cương về hóa học phân tích định lượng</t>
  </si>
  <si>
    <t>Bài 2: Phân tích khối lượng</t>
  </si>
  <si>
    <t>Bài 3: Phương pháp phân tích thể tích</t>
  </si>
  <si>
    <t>Bài 4: Phương pháp acid – base</t>
  </si>
  <si>
    <t>Bài 5: Phương pháp oxy hoá - khử</t>
  </si>
  <si>
    <t>Bài 6: Phương pháp kết tủa</t>
  </si>
  <si>
    <t>Bài 7: Phương pháp tạo phức</t>
  </si>
  <si>
    <t>Bài 1: Giới thiệu phòng thực tập và dụng cụ, cách pha dung dịch thuốc thử, an toàn phòng thực tập</t>
  </si>
  <si>
    <t>Bài 2: Xác định cation nhóm I – II -III</t>
  </si>
  <si>
    <t>Bài 3: Xác định cation nhóm IV – V - VI</t>
  </si>
  <si>
    <t>Bài 4: Xác định anion nhóm I – II</t>
  </si>
  <si>
    <t>Bài 5: Xác định các anion và cation trong dung dich muối</t>
  </si>
  <si>
    <t>Bài 6: Định lượng bằng phương pháp acid – base</t>
  </si>
  <si>
    <t>Bài 7: Định lượng bằng phương pháp oxy hóa – khử</t>
  </si>
  <si>
    <t>Bài 8: Định lượng bằng phương pháp kết tủa và tạo phức</t>
  </si>
  <si>
    <t>Thi, kiểm tra</t>
  </si>
  <si>
    <t>Kiểm tra: Hỏi đáp, trắc nghiệm, tự luận, bài tập tính toán, thực hành.
Thi kết thúc môn học: Thực hành trong phòng thí nghiệm hoặc báo cáo thí nghiệm + vấn đáp</t>
  </si>
  <si>
    <t>M101K8</t>
  </si>
  <si>
    <t>Giới thiệu môn học</t>
  </si>
  <si>
    <t>Chương 1: Đọc viết tên thuốc Latinh</t>
  </si>
  <si>
    <t xml:space="preserve">Chương 2: Tế bào và mô thực vật </t>
  </si>
  <si>
    <t>Chương 3: Các cơ quan sinh dưỡng</t>
  </si>
  <si>
    <t>Chương 4: Các cơ quan sinh sản</t>
  </si>
  <si>
    <t>Chương 5: Phân loại thực vật</t>
  </si>
  <si>
    <t>Bài 1: Thực hành đọc, viết tiếng Latinh</t>
  </si>
  <si>
    <t>Bài 2: Thực hành ngữ pháp tiếng Latinh</t>
  </si>
  <si>
    <t>Bài 3: Thực hành viết, đọc tên thuốc, hóa chất bằng tiếng Việt theo thuật ngữ tiếng Latinh</t>
  </si>
  <si>
    <t>Bài 4: Thực hành quan sát cấu tạo tế bào và mô thực vật</t>
  </si>
  <si>
    <t>Bài 5: Thực hành quan sát rễ cây</t>
  </si>
  <si>
    <t>Bài 6: Thực hành quan sát thân cây</t>
  </si>
  <si>
    <t>Bài 7: Thực hành quan sát lá cây</t>
  </si>
  <si>
    <t>Bài 8: Thực hành mô tả hoa</t>
  </si>
  <si>
    <t>Bài 9: Thực hành quả - hạt</t>
  </si>
  <si>
    <r>
      <rPr>
        <sz val="14"/>
        <color rgb="FF000000"/>
        <rFont val="Times New Roman"/>
        <charset val="134"/>
      </rPr>
      <t xml:space="preserve">Bài 10: Thực hành mô tả, </t>
    </r>
    <r>
      <rPr>
        <sz val="14"/>
        <rFont val="Times New Roman"/>
        <charset val="134"/>
      </rPr>
      <t xml:space="preserve">nhận biết và </t>
    </r>
    <r>
      <rPr>
        <sz val="14"/>
        <color rgb="FF000000"/>
        <rFont val="Times New Roman"/>
        <charset val="134"/>
      </rPr>
      <t>p</t>
    </r>
    <r>
      <rPr>
        <sz val="14"/>
        <rFont val="Times New Roman"/>
        <charset val="134"/>
      </rPr>
      <t>hân loại cây thực vật</t>
    </r>
  </si>
  <si>
    <t>Kiểm tra:Hỏi đáp, bài tập nhận dạng
Thi kết thúc môn học: Tự luân, thực hành</t>
  </si>
  <si>
    <t>M102K8</t>
  </si>
  <si>
    <t>Chương 1: Thuốc an thần, gây ngủ và chống động kinh</t>
  </si>
  <si>
    <t>1. Dẫn chất của acid barbituric</t>
  </si>
  <si>
    <t>2. Dẫn chất của benzodiazepin</t>
  </si>
  <si>
    <t>3. Thuốc an thần gây ngủ thuộc dẫn chất khác</t>
  </si>
  <si>
    <t>4. Thuốc chống động kinh</t>
  </si>
  <si>
    <t>Chương 2: Thuốc giảm đau và thuốc giảm đau, hạ sốt, chống viêm</t>
  </si>
  <si>
    <t>1. Thuốc giảm đau loại opioid</t>
  </si>
  <si>
    <t>2. Thuốc giảm đau, hạ sốt, chống viêm</t>
  </si>
  <si>
    <t>Chương 3: Thuốc điều trị ho hen và thuốc long đờm</t>
  </si>
  <si>
    <t>1. Đại cương về thuốc điều trị ho hen</t>
  </si>
  <si>
    <t>2. Một số thuốc cụ thể</t>
  </si>
  <si>
    <t>Chương 4: Vitamin và một số chất dinh dưỡng</t>
  </si>
  <si>
    <t>1. Vitamin</t>
  </si>
  <si>
    <t>2. Một số chất dinh dưỡng</t>
  </si>
  <si>
    <t>Chương 5: Histamin và thuốc kháng histamin</t>
  </si>
  <si>
    <t>1. Histamin</t>
  </si>
  <si>
    <t xml:space="preserve">2. Thuốc kháng histamin </t>
  </si>
  <si>
    <t>Chương 6: Thuốc ảnh hưởng chức năng dạ dày, ruột</t>
  </si>
  <si>
    <t>1. Thuốc điều trị loét dạ dày, tá tràng</t>
  </si>
  <si>
    <t>2. Thuốc nhuận tràng và tẩy</t>
  </si>
  <si>
    <t>3. Thuốc điều trị bệnh tiêu chảy</t>
  </si>
  <si>
    <t>4. Các thuốc giúp tiêu hoá</t>
  </si>
  <si>
    <t>Chương 7: Thuốc kháng sinh và kháng khuẩn</t>
  </si>
  <si>
    <t>1. Kháng sinh beta lactam</t>
  </si>
  <si>
    <t>2. Kháng sinh aminosid</t>
  </si>
  <si>
    <t>3. Kháng sinh tetracyclin</t>
  </si>
  <si>
    <t>4. Kháng sinh cloramphenicol</t>
  </si>
  <si>
    <t>5. Kháng sinh macrolid</t>
  </si>
  <si>
    <t>6. Kháng sinh lincosamid</t>
  </si>
  <si>
    <t>7. Kháng sinh polypeptid</t>
  </si>
  <si>
    <t>8. Kháng sinh quinolon</t>
  </si>
  <si>
    <t>9. Kháng sinh khác</t>
  </si>
  <si>
    <t>Chương 8: Thuốc tác dụng trên hệ thần kinh giao cảm và phó giao cảm</t>
  </si>
  <si>
    <t>1. Thuốc tác dụng kiểu giao cảm</t>
  </si>
  <si>
    <t>2. Thuốc tác dụng huỷ giao cảm</t>
  </si>
  <si>
    <t>3. Thuốc tác dụng kiểu phó giao cảm</t>
  </si>
  <si>
    <t>4. Thuốc tác dụng huỷ phó giao cảm</t>
  </si>
  <si>
    <t>Chương 9: Thuốc tim mạch</t>
  </si>
  <si>
    <t xml:space="preserve">1. Thuốc cường tim </t>
  </si>
  <si>
    <t xml:space="preserve">2. Thuốc chống loạn nhịp tim </t>
  </si>
  <si>
    <t>3. Thuốc chống đau thắt ngực</t>
  </si>
  <si>
    <t>4. Thuốc điều trị bệnh tăng huyết áp</t>
  </si>
  <si>
    <t>5. Thuốc hạ lipid máu</t>
  </si>
  <si>
    <t>Chương 10: Hormon và các hợp chất tương tự</t>
  </si>
  <si>
    <t>1. Hormon sinh dục nữ</t>
  </si>
  <si>
    <t>2. Hormon sinh dục nam</t>
  </si>
  <si>
    <t>3. Hormon vỏ thượng thận</t>
  </si>
  <si>
    <t>4. Hormon tuyến yên</t>
  </si>
  <si>
    <t>5. Hormon tuyến giáp và các thuốc kháng giáp trạng</t>
  </si>
  <si>
    <t>6. Hormon tuyến tuỵ và thuốc tổng hợp điều trị bệnh đái tháo đường</t>
  </si>
  <si>
    <t>Chương 11: Thuốc điều trị nấm</t>
  </si>
  <si>
    <t>1. Các azol</t>
  </si>
  <si>
    <t>2. Allylamin và dẫn chất</t>
  </si>
  <si>
    <t>3. Kháng sinh chống nấm</t>
  </si>
  <si>
    <t>Chương 12: Thuốc điều trị bệnh do ký sinh trùng</t>
  </si>
  <si>
    <t>1. Thuốc điều trị bệnh giun sán</t>
  </si>
  <si>
    <t>2. Thuốc điều trị bệnh sốt rét</t>
  </si>
  <si>
    <t>3. Thuốc điều trị lỵ amip và Trichomonas</t>
  </si>
  <si>
    <t>Chương 13: Thuốc chống virus</t>
  </si>
  <si>
    <t>1. Đại cương</t>
  </si>
  <si>
    <t>2. Một số thuốc điển hình</t>
  </si>
  <si>
    <t>Bài 1: Thử gới hạn tạp chất – kiểm nghiệm natri clorid</t>
  </si>
  <si>
    <t>Bài 2: Kiểm nghiệm procain hydroclorid – định tính lidocain hydroclorid</t>
  </si>
  <si>
    <t>Bài 3: Kiểm nghiệm aspirin - định tính acid salicylic, natri salicylat</t>
  </si>
  <si>
    <t>Bài 4: Kiểm nghiệm paracetamol – định tính diclofenac natri</t>
  </si>
  <si>
    <t>Bài 5: Kiểm nghiệm cafein – định tính theophylin, theobromin</t>
  </si>
  <si>
    <t xml:space="preserve">Bài 6: Kiểm nghiệm vitamin C – định tính thiamin hydroclorid, pyridoxin </t>
  </si>
  <si>
    <t>Bài 7: Kiểm nghiệm glucose – định tính mannitol, isoniazid.</t>
  </si>
  <si>
    <t>Bài 8: Kiểm nghiệm cloramphenicol – định tính sulfonamid, tetracyclin hydroclorid.</t>
  </si>
  <si>
    <t>M095K8</t>
  </si>
  <si>
    <t>Chương 1: Dược động học</t>
  </si>
  <si>
    <t>1. Quá trình hấp thu</t>
  </si>
  <si>
    <t>2. Quá trình phân bố</t>
  </si>
  <si>
    <t>3. Quá trình chuyển hóa, thải trừ</t>
  </si>
  <si>
    <t>Chương 2: Dược lực học</t>
  </si>
  <si>
    <t>1. Các kiểu tác dụng của thuốc</t>
  </si>
  <si>
    <t>2. Cơ chế tác dụng của thuộc</t>
  </si>
  <si>
    <t>3. Các yếu tố ảnh hưởng đến tác dụng của thuốc</t>
  </si>
  <si>
    <t>Chương 3: Khái niệm và phân loại tác dụng không mong muốn của thuốc</t>
  </si>
  <si>
    <t>1. Khái niệm</t>
  </si>
  <si>
    <t>2. Phân loại</t>
  </si>
  <si>
    <t>3. Nguyên nhân gây tác dụng không mong muốn và các biện pháp hạn chế</t>
  </si>
  <si>
    <t>Chương 4: Các thuốc tác dụng trên hệ thần kinh thực vật</t>
  </si>
  <si>
    <t>1. Các thuốc tác dụng trên hệ cholinergic:</t>
  </si>
  <si>
    <t>2. Các thuốc tác dụng trên hệ adrenergic:</t>
  </si>
  <si>
    <t>3. Các thuốc tác dụng trên sinap thần kinh cơ và các sinap thần kinh thực vật:</t>
  </si>
  <si>
    <t>Chương 5: Thuốc tác dụng trên hệ thần kinh trung ương</t>
  </si>
  <si>
    <t>1. Thuốc gây mê, tê:</t>
  </si>
  <si>
    <t>2. Thuốc an thần, giảm đau gây ngủ:</t>
  </si>
  <si>
    <t>3. Các thuốc điều trị rối loạn tâm thần:</t>
  </si>
  <si>
    <t>4. Thuốc điều trị động kinh:</t>
  </si>
  <si>
    <t>Chương 6: Thuốc tác dụng trên hệ tim mạch và máu</t>
  </si>
  <si>
    <t>1.    Thuốc điều trị suy tim</t>
  </si>
  <si>
    <t>2.     Thuốc điều trị rối loạn nhịp tim</t>
  </si>
  <si>
    <t>3.    Thuốc điều trị cơn đau thắt ngực</t>
  </si>
  <si>
    <t>4.    Thuốc điều trị tăng huyết áp</t>
  </si>
  <si>
    <t>5.    Thuốc lợi niệu</t>
  </si>
  <si>
    <t>6.    Thuốc hạ lipid máu</t>
  </si>
  <si>
    <t>7.     Thuốc điều trị thiếu máu</t>
  </si>
  <si>
    <t>8.    Thuốc tác dụng trên quá trình đông máu</t>
  </si>
  <si>
    <t>Chương 7: Thuốc điều trị bệnh về đường tiêu hóa</t>
  </si>
  <si>
    <t>1.    Thuốc điều trị viêm, loét dạ dày – tá tràng</t>
  </si>
  <si>
    <t>2.    Thuốc kích thích và điều chỉnh vận động đường tiêu hóa</t>
  </si>
  <si>
    <t>3.    Thuốc chống co thắt và làm giảm nhu động ruột</t>
  </si>
  <si>
    <t>4.    Thuốc chống tiêu chảy</t>
  </si>
  <si>
    <r>
      <rPr>
        <sz val="14"/>
        <color theme="1"/>
        <rFont val="Times New Roman"/>
        <charset val="134"/>
      </rPr>
      <t>Chương 8: Thuốc kháng histamin H</t>
    </r>
    <r>
      <rPr>
        <vertAlign val="subscript"/>
        <sz val="14"/>
        <color theme="1"/>
        <rFont val="Times New Roman"/>
        <charset val="134"/>
      </rPr>
      <t>1</t>
    </r>
  </si>
  <si>
    <t>1.    Histamin</t>
  </si>
  <si>
    <r>
      <rPr>
        <sz val="14"/>
        <color theme="1"/>
        <rFont val="Times New Roman"/>
        <charset val="134"/>
      </rPr>
      <t>2.    Thuốc kháng histamin H</t>
    </r>
    <r>
      <rPr>
        <vertAlign val="subscript"/>
        <sz val="14"/>
        <color theme="1"/>
        <rFont val="Times New Roman"/>
        <charset val="134"/>
      </rPr>
      <t>1</t>
    </r>
  </si>
  <si>
    <t>Chương 9:  Thuốc hạ sốt – giảm đau – chống viêm – Thuốc điều trị gout</t>
  </si>
  <si>
    <t>1. Đại cương về thuốc hạ sốt – giảm đau – chống viêm</t>
  </si>
  <si>
    <t>2. Các thuốc thuốc hạ sốt – giảm đau – chống viêm</t>
  </si>
  <si>
    <t>3. Thuốc giảm đau không thuộc nhóm opiat</t>
  </si>
  <si>
    <t>4. Thuốc điều trị gout</t>
  </si>
  <si>
    <t>Chương 10: Hormon và các thuốc kháng hormon</t>
  </si>
  <si>
    <t>2. Hormon vỏ thượng thận</t>
  </si>
  <si>
    <t>3. Hormon tuyến yên</t>
  </si>
  <si>
    <t>4. Hormon tuyến tụy</t>
  </si>
  <si>
    <t>5. Hormon tuyến giáp</t>
  </si>
  <si>
    <t>6. Hormon sinh dục và thuốc tránh thai</t>
  </si>
  <si>
    <t>Chương 11: Vitamin, thuốc tiêm truyền điều chỉnh nước, điện giải và cân bằng acid - base</t>
  </si>
  <si>
    <t>2. Thuốc tiêm truyền điều chỉnh nước, điện giải và cân bằng acid - base</t>
  </si>
  <si>
    <t>Chương 12: Kháng sinh</t>
  </si>
  <si>
    <t>1. Đại cương kháng sinh</t>
  </si>
  <si>
    <t>2. Kháng sinh beta - lactam</t>
  </si>
  <si>
    <t>4. Kháng sinh phenicol</t>
  </si>
  <si>
    <t>5. Kháng sinh aminoglycosid</t>
  </si>
  <si>
    <t>6. Kháng sinh macrolid</t>
  </si>
  <si>
    <t>7. Kháng sinh lincosamid</t>
  </si>
  <si>
    <t>8. Kháng sinh peptid</t>
  </si>
  <si>
    <t>9. Kháng sinh quinolon</t>
  </si>
  <si>
    <t>10. Sulfamid kháng khuẩn</t>
  </si>
  <si>
    <t>Chương 13: Thuốc điều trị lao, phong</t>
  </si>
  <si>
    <t>2. Các thuốc điều trị lao, phong</t>
  </si>
  <si>
    <t>Bài 1: Tác dụng đường đưa thuốc, ảnh hưởng của pH dạ dày, phản xạ của thuốc,</t>
  </si>
  <si>
    <t>Bài 2: Tác dụng hiệp đồng, đối lập, nồng độ, hàm lượng, độ hòa tan, đường đưa thuốc ảnh hưởng đến hấp thu của thuốc.</t>
  </si>
  <si>
    <t>Bài 3: Tác dụng của thuốc mê, thuốc ngủ</t>
  </si>
  <si>
    <t>Bài 4: Tác dụng thuốc kích thích và ức chế thần kinh trung ương</t>
  </si>
  <si>
    <t>Bài 5: Tác dụng của thuốc trên tim mạch</t>
  </si>
  <si>
    <t>Bài 6: Tác dụng của thuốc trên đồng tử, chống nôn, nhuận tẩy</t>
  </si>
  <si>
    <t>Bài 7: Tác dụng của thuốc lên di chuyển của thức ăn trong ống tiêu hóa, thuốc giảm ho, săn niêm mạc</t>
  </si>
  <si>
    <t>Bài 8: Nhận thức thành phẩm thuốc tác dụng trên hệ thần kinh trung ương, thuốc tác dụng trên hệ tim mạch và máu</t>
  </si>
  <si>
    <t>.</t>
  </si>
  <si>
    <t>Bài 9: Nhận thức thành phẩm thuốc điều trị bệnh về đường tiêu hóa, thuốc hạ sốt – giảm đau – chống viêm – Thuốc điều trị gout, thuốc kháng histamin.</t>
  </si>
  <si>
    <t>Bài 10: Nhận thức thành phẩm thuốc kháng hormon, vitamin, thuốc tiêm truyền điều.</t>
  </si>
  <si>
    <t>Bài 11: Nhận thức thành phẩm thuốc kháng sinh, sulfamid, kháng nấm, lao, phong.</t>
  </si>
  <si>
    <t>Bài 12: ôn tập thực hành</t>
  </si>
  <si>
    <t>Kiểm tra: Tự luận, trắc nghiệm, vấn đáp, thực hành
Thi kết thúc môn học: Vấn đáp, thực hành</t>
  </si>
  <si>
    <t>M103K8</t>
  </si>
  <si>
    <t>Bài mở đầu: Đại cương dược liệu học</t>
  </si>
  <si>
    <t>Chương 1: Kỹ thuật thu hái, phơi sấy, chế biến sơ bộ</t>
  </si>
  <si>
    <t>1. Thu hái dược liệu:</t>
  </si>
  <si>
    <t>2. Ổn định dược liệu:</t>
  </si>
  <si>
    <t xml:space="preserve"> </t>
  </si>
  <si>
    <t>3. Chế biến sơ bộ:</t>
  </si>
  <si>
    <t>4. Bảo quản:</t>
  </si>
  <si>
    <t>5. Các phương pháp để đánh giá dược liệu:</t>
  </si>
  <si>
    <t>Chương 2: Carbonhydrat và dược liệu chứa cacbohydrat</t>
  </si>
  <si>
    <t>1. Định nghĩa:</t>
  </si>
  <si>
    <t>2. Dược liệu chứa tinh bột:</t>
  </si>
  <si>
    <t>3. Dược liệu chứa cellulose:</t>
  </si>
  <si>
    <t>4. Dược liệu chứa gôm – chất nhầy:</t>
  </si>
  <si>
    <t>Chương 3: Glycosid và dược liệu chứa glycosid</t>
  </si>
  <si>
    <t>1. Khái niệm chung về glycosid:</t>
  </si>
  <si>
    <t>2. Đại cương glycosid tim và dược liệu chứa glycosid tim:</t>
  </si>
  <si>
    <t>3. Đại cương saponin và dược liệu chứa saponin:</t>
  </si>
  <si>
    <t>4. Đại cương anthraglycosid và dược liệu chứa anthraglycosid:</t>
  </si>
  <si>
    <t>5. Đại cương flavonoid và dược liệu chứa flavonoid:</t>
  </si>
  <si>
    <t>6. Đại cương coumarin và dược liệu chứa coumarin:</t>
  </si>
  <si>
    <t>7. Đại cương tanin và dược liệu chứa tanin:</t>
  </si>
  <si>
    <t>Chương 4: Acid hữu cơ và dược liệu chứa acid hữu cơ</t>
  </si>
  <si>
    <t>2. Phân loại:</t>
  </si>
  <si>
    <t>3. Chiết tách và xác định các acid:</t>
  </si>
  <si>
    <t>4. Vai trò của acid hữu cơ trong cây:</t>
  </si>
  <si>
    <t>5. Công dụng của các acid hữu cơ:</t>
  </si>
  <si>
    <t>6. Các dược liệu chứa acid hữu cơ:</t>
  </si>
  <si>
    <t>Chương 5: Alkaloid và dược liệu chứa alkaloid</t>
  </si>
  <si>
    <t>1. Đại cương:</t>
  </si>
  <si>
    <t>2. Tính chất chung của alkaloid:</t>
  </si>
  <si>
    <t>3. Chiết xuất, tinh chế và phân lập:</t>
  </si>
  <si>
    <t>4. Định tính alkaloid:</t>
  </si>
  <si>
    <t>5. Định lượng alkaloid:</t>
  </si>
  <si>
    <t>6. Cấu tạo hóa học và phân loại:</t>
  </si>
  <si>
    <t>7. Tầm quan trọng trong dược liệu:</t>
  </si>
  <si>
    <t>8. Một số dược liệu chứa alkaloid:</t>
  </si>
  <si>
    <t>Chương 6: Dược liệu chứa tinh dầu</t>
  </si>
  <si>
    <t>1.Đại cương:</t>
  </si>
  <si>
    <t>2. Trạng thái thiên nhiên và vai trò của tinh dầu đối với cây:</t>
  </si>
  <si>
    <t>3. Vai trò của tinh dầu trong cây:</t>
  </si>
  <si>
    <t>4. Dược liệu chứa tinh dầu:</t>
  </si>
  <si>
    <t>Chương 7: Dược liệu chứa chất nhựa, chất béo</t>
  </si>
  <si>
    <t>1. Dược liệu chứa chất nhựa:</t>
  </si>
  <si>
    <t>2. Dược liệu chứa chất béo:</t>
  </si>
  <si>
    <t>Chương 8: Động vật dùng làm thuốc</t>
  </si>
  <si>
    <t>1. Hải mã:</t>
  </si>
  <si>
    <t>2. Lộc giác:</t>
  </si>
  <si>
    <t>3. Lộc nhung, mê nhung:</t>
  </si>
  <si>
    <t>4. Mật ong:</t>
  </si>
  <si>
    <t>5. Rắn:</t>
  </si>
  <si>
    <t>6. Tắc kè:</t>
  </si>
  <si>
    <t>7. Tê tê:</t>
  </si>
  <si>
    <t>Bài 1: Thực tập các phương pháp kiểm nghiệm dược liệu</t>
  </si>
  <si>
    <t>Bài 2: Thực tập kiểm nghiệm dược liệu chứa carbohydrat</t>
  </si>
  <si>
    <t>Bài 3: Thực tập kiểm nghiệm dược liệu chứa glycosid tim</t>
  </si>
  <si>
    <t>Bài 4: Thực tập kiểm nghiệm dược liệu chứa saponin</t>
  </si>
  <si>
    <t>Bài 5: Thực tập kiểm nghiệm dược liệu chứa anthraglycosid</t>
  </si>
  <si>
    <t>Bài 6: Thực tập kiểm nghiệm dược liệu chứa tanin</t>
  </si>
  <si>
    <t>Bài 7: Thực tập định tính alkaloid trong dược liệu bằng phản ứng hóa học và sắc ký lớp mỏng</t>
  </si>
  <si>
    <t>Bài 8: Thực tập kiểm định dược liệu có chứa alkaloid</t>
  </si>
  <si>
    <t>Bài 9: Thực tập kiểm định dược liệu có chứa tinh dầu</t>
  </si>
  <si>
    <t>Ôn tập</t>
  </si>
  <si>
    <t xml:space="preserve"> Cộng</t>
  </si>
  <si>
    <t>Kiểm tra: Hỏi đáp, bài tập nhận dạng
Thi kết thúc môn học: Tự luân, thực hành</t>
  </si>
  <si>
    <t>M104K8</t>
  </si>
  <si>
    <t>Chương 1: Một số học thuyết Y học cổ truyền</t>
  </si>
  <si>
    <t xml:space="preserve">1. Học thuyết âm dương: </t>
  </si>
  <si>
    <t>2. Học thuyết ngũ hành:</t>
  </si>
  <si>
    <t>3. Học thuyết tạng tượng:</t>
  </si>
  <si>
    <t>Chương 2: Thuốc cổ truyền - Tính năng và phân loại của thuốc cổ truyền</t>
  </si>
  <si>
    <t>2. Tính năng của thốc cổ truyền:</t>
  </si>
  <si>
    <t>3. Phân loại thuốc cổ truyền:</t>
  </si>
  <si>
    <t>Chương 3: Nội dung cơ bản của 14 loại thuốc cổ truyền</t>
  </si>
  <si>
    <t>1. Thuốc giải biểu:</t>
  </si>
  <si>
    <t>2. Thuốc khử hàn:</t>
  </si>
  <si>
    <t>3. Thuốc thanh nhiệt:</t>
  </si>
  <si>
    <t>4. Thuốc hóa đờm, chỉ ho, bình suyễn:</t>
  </si>
  <si>
    <t>5. Thuốc tắt phong, an thần, khai khiếu:</t>
  </si>
  <si>
    <t>6. Thuốc phần khí:</t>
  </si>
  <si>
    <t>7. Thuốc phần huyết:</t>
  </si>
  <si>
    <t>8. Thuốc trừ thấp:</t>
  </si>
  <si>
    <t>9. Thuốc bổ dưỡng:</t>
  </si>
  <si>
    <t>10. Thuốc tiêu đạo hóa tích:</t>
  </si>
  <si>
    <t xml:space="preserve">11. Thuốc tả hạ: </t>
  </si>
  <si>
    <t>12. Thuốc trục thủy:</t>
  </si>
  <si>
    <t>13. Thuốc cố sáp:</t>
  </si>
  <si>
    <t>14. Thuốc trừ giun sán:</t>
  </si>
  <si>
    <t>Chương 4: Bệnh chứng và trị liệu theo YHCT – Các phương thuốc cổ truyền</t>
  </si>
  <si>
    <t>1. Bệnh chứng và trị liệu theo YHCT:</t>
  </si>
  <si>
    <t>2. Các phương thuốc cổ truyền:</t>
  </si>
  <si>
    <t>Chương 5: Kỹ thuật chế biến đông dược</t>
  </si>
  <si>
    <t>1. Mục đích:</t>
  </si>
  <si>
    <t>2. Các kỹ thuật chế biến thuốc đông dược:</t>
  </si>
  <si>
    <t>3. Các phụ liệu dùng chế biến thuốc đông dược:</t>
  </si>
  <si>
    <t>Bài 1: Kỹ thuật chế biến hà thủ ô đỏ</t>
  </si>
  <si>
    <t>Bài 2: Kỹ thuật chế biến thục địa</t>
  </si>
  <si>
    <t>Bài 3: Kỹ thuật chế biến chè thuốc</t>
  </si>
  <si>
    <t>Bài 4: Kỹ thuật chế biến cao thuốc</t>
  </si>
  <si>
    <t>Ôn thi, kiểm tra:</t>
  </si>
  <si>
    <t>Kiểm tra: Hỏi đáp, trắc nghiệm, tự luận, bài tập, thực hành
Thi kết thúc môn học: Tự luân hoặc trắc nghiệm</t>
  </si>
  <si>
    <t>M105K8</t>
  </si>
  <si>
    <t>Chương 1: Đại cương về bào chế</t>
  </si>
  <si>
    <t>Chương 2: Kỹ thuật cân</t>
  </si>
  <si>
    <t>Chương 3: Kỹ thuật đong - đo -pha cồn</t>
  </si>
  <si>
    <t>Chương 4: Kỹ thuật nghiền tán - rây - trộn đều</t>
  </si>
  <si>
    <t>Chương 5: Kỹ thuật hòa tan - làm trong</t>
  </si>
  <si>
    <t>Chương 6: Kỹ thuật khử khuẩn</t>
  </si>
  <si>
    <t>Chương 7: Nước cất</t>
  </si>
  <si>
    <t>Chương 8: Kỹ thuật bào chế thuốc thang - chè thuốc</t>
  </si>
  <si>
    <t>Chương 9: Kỹ thuật bào chế cồn thuốc</t>
  </si>
  <si>
    <t>Chương 10: Kỹ thuật bào chế cao thuốc</t>
  </si>
  <si>
    <t>Chương 11: Kỹ thuật bào chế dung dịch thuốc</t>
  </si>
  <si>
    <t>Chương 12: Kỹ thuật bào chế siro - potio - elixir</t>
  </si>
  <si>
    <t>Chương 13: Kỹ thuật bào chế thuốc tiêm - tiêm truyền</t>
  </si>
  <si>
    <t>Chương 14: Kỹ thuật bào chế nhũ tương thuốc</t>
  </si>
  <si>
    <t>Chương 15: Kỹ thuật bào chế hỗn dịch thuốc</t>
  </si>
  <si>
    <t>Chương 16: Kỹ thuật bào chế thuốc mỡ</t>
  </si>
  <si>
    <t>Chương 17: Kỹ thuật bào chế thuốc đặt</t>
  </si>
  <si>
    <t>Chương 18: Kỹ thuật bào chế thuốc bột</t>
  </si>
  <si>
    <t>Chương 19: Thuốc cốm và pellet</t>
  </si>
  <si>
    <t>Chương 20: Kỹ thuật bào chế thuốc viên nén</t>
  </si>
  <si>
    <t>Bài 1: Thực hành kỹ thuật cân; đong - đo - pha cồn</t>
  </si>
  <si>
    <t>Bài 2: Thực hành bào chế rượu etylic; nước cất</t>
  </si>
  <si>
    <t>Bài 3: Thực hành bào chế thuốc thang; chè thuốc; cồn thuốc</t>
  </si>
  <si>
    <t>Bài 4: Thực hành bào chế dung dịch thuốc; siro; potio</t>
  </si>
  <si>
    <t>Bài 5: Thực hành bào chế thuốc bột; thuốc cốm</t>
  </si>
  <si>
    <t>Bài 6: Thực hành bào chế nhũ tương thuốc, hỗn dịch thuốc</t>
  </si>
  <si>
    <t>Bài 7: Thực hành bào chế thuốc đạn</t>
  </si>
  <si>
    <t>Bài 8: Thực hành bào chế thuốc mỡ</t>
  </si>
  <si>
    <t>Bài 9: Thực hành bào chế viên nén</t>
  </si>
  <si>
    <t>Kiểm tra: Hỏi đáp, trắc nghiệm, tự luận, bài tập, thực hành.
Thi kết thúc môn học: Tự luân hoặc trắc nghiệm</t>
  </si>
  <si>
    <t>M106K8</t>
  </si>
  <si>
    <t>Chương 1: Kỹ thuật sản xuất thuốc viên tròn</t>
  </si>
  <si>
    <t>2. Thành phần thuốc viên tròn</t>
  </si>
  <si>
    <t>3. Kỹ thuật sản xuất thuốc viên tròn</t>
  </si>
  <si>
    <t>4. Tiêu chuẩn chất lượng</t>
  </si>
  <si>
    <t>5. Một số ví dụ</t>
  </si>
  <si>
    <t>Chương 2: Kỹ thuật bao viên</t>
  </si>
  <si>
    <t>2. Bao đường</t>
  </si>
  <si>
    <t>3. Bao phim</t>
  </si>
  <si>
    <t>4. Bao viên bằng máy dập viên</t>
  </si>
  <si>
    <t>5. Tiêu chuẩn chất lượng của viên bao</t>
  </si>
  <si>
    <t>6. Đóng gói bảo quản và nhãn thuốc viên</t>
  </si>
  <si>
    <t>Chương 3: Kỹ thuật sản xuất thuốc viên nang</t>
  </si>
  <si>
    <t>2. Viên nang mềm</t>
  </si>
  <si>
    <t>3. Sản xuất thuốc viên nang cứng</t>
  </si>
  <si>
    <t>4. Tiêu chuẩn và phương pháp đánh giá viên nang</t>
  </si>
  <si>
    <t>5. Một số ví dụ về thuốc nang</t>
  </si>
  <si>
    <t>M107K8</t>
  </si>
  <si>
    <t>Chương 1: Đại cương về công tác kiểm nghiệm thuốc</t>
  </si>
  <si>
    <t>1. Chất lượng thuốc và tổ chức đảm bảo chất lượng thuốc</t>
  </si>
  <si>
    <t>2. Công tác tiêu chuẩn hóa:</t>
  </si>
  <si>
    <t>3. Công tác kiểm nghiệm thuốc</t>
  </si>
  <si>
    <t>4. Xử lý kết quả phân tích</t>
  </si>
  <si>
    <t>Chương 2: Kiểm nghiệm thuốc bằng các phương pháp hóa học</t>
  </si>
  <si>
    <t xml:space="preserve">1. Dung dịch chuẩn, dung dịch ion mẫu, thuốc thử, chỉ thị màu thường dùng trong kiểm nghiệm </t>
  </si>
  <si>
    <t>2. Xác định giới hạn các tạp chất trong thuốc</t>
  </si>
  <si>
    <t>3. Định lượng bằng phương pháp hoá học</t>
  </si>
  <si>
    <t>Chương 3: Kiểm nghiệm thuốc bằng các phương pháp hóa lý</t>
  </si>
  <si>
    <t>1. Phương pháp quang phổ hấp thụ phân tử</t>
  </si>
  <si>
    <t>2. Phép thử độ rã và độ hòa tan của viên nén - viên nang</t>
  </si>
  <si>
    <t>3. Một số chỉ số vật lý và cách thử</t>
  </si>
  <si>
    <t>Chương 4: Kiểm nghiệm thuốc bằng phương pháp sinh học</t>
  </si>
  <si>
    <t>1. Định lượng kháng sinh bằng phương pháp vi sinh vật</t>
  </si>
  <si>
    <t>2. Kiểm tra độ vô khuẩn và giới hạn nhiễm khuẩn</t>
  </si>
  <si>
    <t>3. Kiểm nghiệm chất gây sốt, độc tính bất thường</t>
  </si>
  <si>
    <t>Chương 5: Kiểm nghiệm các dạng bào chế</t>
  </si>
  <si>
    <t>1. Kiểm nghiệm thuốc bột</t>
  </si>
  <si>
    <t>2. Kiểm nghiệm thuốc viên nang</t>
  </si>
  <si>
    <t>3. Kiểm nghiệm thuốc viên nén</t>
  </si>
  <si>
    <t>4. Kiểm nghiệm thuốc tiêm, thuốc tiêm truyền</t>
  </si>
  <si>
    <t>5. Kiểm nghiệm thuốc nhỏ mắt</t>
  </si>
  <si>
    <t>6. Kiểm nghiệm thuốc uống dạng lỏng</t>
  </si>
  <si>
    <t>7. Kiểm nghiệm thuốc mỡ</t>
  </si>
  <si>
    <t>8. Kiểm nghiệm thuốc đạn, thuốc trứng</t>
  </si>
  <si>
    <t>Bài 1: Chuẩn bị trang thiết bị - dụng cụ - hóa chất thực tập kiểm nghiệm</t>
  </si>
  <si>
    <t>1. Chuẩn bị</t>
  </si>
  <si>
    <t>2. Thực hành chọn đúng, rửa sạch, bảo quản dụng cụ</t>
  </si>
  <si>
    <t>3. Thực hành lựa chọn đúng, xử lý hoá chất phục vụ thực tập</t>
  </si>
  <si>
    <t>4. Kết quả thực tập</t>
  </si>
  <si>
    <r>
      <rPr>
        <sz val="14"/>
        <rFont val="Times New Roman"/>
        <charset val="134"/>
      </rPr>
      <t xml:space="preserve">Bài 2: </t>
    </r>
    <r>
      <rPr>
        <sz val="14"/>
        <color rgb="FF000000"/>
        <rFont val="Times New Roman"/>
        <charset val="134"/>
      </rPr>
      <t>Pha dung dịch chuẩn – dung dịch mẫu – thuốc thử - chỉ thị</t>
    </r>
  </si>
  <si>
    <t>2. Pha dung dịch ion mẫu</t>
  </si>
  <si>
    <t>3. Pha dung dịch chuẩn độ</t>
  </si>
  <si>
    <t>4. Pha thuốc thử, chỉ thị</t>
  </si>
  <si>
    <t>5. Kết quả thực tập</t>
  </si>
  <si>
    <r>
      <rPr>
        <sz val="14"/>
        <rFont val="Times New Roman"/>
        <charset val="134"/>
      </rPr>
      <t>Bài 3: K</t>
    </r>
    <r>
      <rPr>
        <sz val="14"/>
        <color rgb="FF000000"/>
        <rFont val="Times New Roman"/>
        <charset val="134"/>
      </rPr>
      <t>iểm nghiệm nguyên liệu hóa chất (natri hydrocarbonat - DĐVN V)</t>
    </r>
  </si>
  <si>
    <t>2. Pha thuốc thử dùng cho kiểm nghiệm</t>
  </si>
  <si>
    <t>3. Tiêu chuẩn kỹ thuật của natri hydrocarbonat và phương pháp thử</t>
  </si>
  <si>
    <t>4. Trả lời phiếu kiểm nghiệm</t>
  </si>
  <si>
    <r>
      <rPr>
        <sz val="14"/>
        <rFont val="Times New Roman"/>
        <charset val="134"/>
      </rPr>
      <t xml:space="preserve">Bài 4: </t>
    </r>
    <r>
      <rPr>
        <sz val="14"/>
        <color rgb="FF000000"/>
        <rFont val="Times New Roman"/>
        <charset val="134"/>
      </rPr>
      <t>Kiểm nghiệm thuốc bột (oresol - DĐVN V)</t>
    </r>
  </si>
  <si>
    <t>2. Pha thuốc thử dùng cho kiểm nghiệm oresol</t>
  </si>
  <si>
    <t>3. Tiêu chuẩn kỹ thuật của thuốc bột oresol và phương pháp thử</t>
  </si>
  <si>
    <r>
      <rPr>
        <sz val="14"/>
        <rFont val="Times New Roman"/>
        <charset val="134"/>
      </rPr>
      <t xml:space="preserve">Bài 5: </t>
    </r>
    <r>
      <rPr>
        <sz val="14"/>
        <color rgb="FF000000"/>
        <rFont val="Times New Roman"/>
        <charset val="134"/>
      </rPr>
      <t>Kiểm nghiệm thuốc viên nén (magnesium – B</t>
    </r>
    <r>
      <rPr>
        <vertAlign val="subscript"/>
        <sz val="14"/>
        <color rgb="FF000000"/>
        <rFont val="Times New Roman"/>
        <charset val="134"/>
      </rPr>
      <t>6</t>
    </r>
    <r>
      <rPr>
        <sz val="14"/>
        <color rgb="FF000000"/>
        <rFont val="Times New Roman"/>
        <charset val="134"/>
      </rPr>
      <t xml:space="preserve"> - DĐVN V)</t>
    </r>
  </si>
  <si>
    <r>
      <rPr>
        <sz val="14"/>
        <rFont val="Times New Roman"/>
        <charset val="134"/>
      </rPr>
      <t xml:space="preserve">2. Pha thuốc thử dùng cho kiểm nghiệm viên </t>
    </r>
    <r>
      <rPr>
        <sz val="14"/>
        <color rgb="FF000000"/>
        <rFont val="Times New Roman"/>
        <charset val="134"/>
      </rPr>
      <t>magnesium – B6</t>
    </r>
  </si>
  <si>
    <r>
      <rPr>
        <sz val="14"/>
        <rFont val="Times New Roman"/>
        <charset val="134"/>
      </rPr>
      <t xml:space="preserve">3. Tiêu chuẩn kỹ thuật của viên nén bao phim </t>
    </r>
    <r>
      <rPr>
        <sz val="14"/>
        <color rgb="FF000000"/>
        <rFont val="Times New Roman"/>
        <charset val="134"/>
      </rPr>
      <t>magnesium – B6</t>
    </r>
    <r>
      <rPr>
        <sz val="14"/>
        <rFont val="Times New Roman"/>
        <charset val="134"/>
      </rPr>
      <t xml:space="preserve"> và phương pháp thử</t>
    </r>
  </si>
  <si>
    <r>
      <rPr>
        <sz val="14"/>
        <rFont val="Times New Roman"/>
        <charset val="134"/>
      </rPr>
      <t xml:space="preserve">Bài 6: </t>
    </r>
    <r>
      <rPr>
        <sz val="14"/>
        <color rgb="FF000000"/>
        <rFont val="Times New Roman"/>
        <charset val="134"/>
      </rPr>
      <t>Kiểm nghiệm thuốc viên nang (vitamin C - DĐVN V)</t>
    </r>
  </si>
  <si>
    <r>
      <rPr>
        <sz val="14"/>
        <rFont val="Times New Roman"/>
        <charset val="134"/>
      </rPr>
      <t xml:space="preserve">2. Pha thuốc thử dùng cho kiểm nghiệm viên </t>
    </r>
    <r>
      <rPr>
        <sz val="14"/>
        <color rgb="FF000000"/>
        <rFont val="Times New Roman"/>
        <charset val="134"/>
      </rPr>
      <t>nang vitamin C</t>
    </r>
  </si>
  <si>
    <r>
      <rPr>
        <sz val="14"/>
        <rFont val="Times New Roman"/>
        <charset val="134"/>
      </rPr>
      <t xml:space="preserve">3. Tiêu chuẩn kỹ thuật của viên </t>
    </r>
    <r>
      <rPr>
        <sz val="14"/>
        <color rgb="FF000000"/>
        <rFont val="Times New Roman"/>
        <charset val="134"/>
      </rPr>
      <t>nang vitamin C</t>
    </r>
    <r>
      <rPr>
        <sz val="14"/>
        <rFont val="Times New Roman"/>
        <charset val="134"/>
      </rPr>
      <t xml:space="preserve"> và phương pháp thử</t>
    </r>
  </si>
  <si>
    <t xml:space="preserve">Bài 7: Kiểm nghiệm thuốc lỏng – bán rắn        </t>
  </si>
  <si>
    <t xml:space="preserve">1. Chuẩn bị </t>
  </si>
  <si>
    <t>2. Kỹ thuật kiểm nghiệm độ đồng đều thể tích của thuốc dạng lỏng</t>
  </si>
  <si>
    <t>3. Kỹ thuật kiểm nghiệm độ đồng đều khối lượng thuốc mỡ</t>
  </si>
  <si>
    <t>4. Kỹ thuật kiểm tra độ đồng nhất của thuốc mỡ</t>
  </si>
  <si>
    <t>5. Trả lời phiếu kiểm nghiệm</t>
  </si>
  <si>
    <t>Kiểm tra định kỳ phần thực hành</t>
  </si>
  <si>
    <t>M108K8</t>
  </si>
  <si>
    <t xml:space="preserve">Chương 1: Các thông số dược động học </t>
  </si>
  <si>
    <t>1. Sinh khả dụng</t>
  </si>
  <si>
    <t>2. Thể tích phân bố</t>
  </si>
  <si>
    <t>3. Độ thanh thải của thuốc</t>
  </si>
  <si>
    <t>4. Thời gian bán thải(t1/2)</t>
  </si>
  <si>
    <t>Chương 2: Tương tác thuốc</t>
  </si>
  <si>
    <t>Tương tác thuốc – thuốc</t>
  </si>
  <si>
    <t>1. Tương tác thuốc – thức ăn- đồ uống</t>
  </si>
  <si>
    <t>2. Hướng dẫn thời gian uống thuốc thích hợp</t>
  </si>
  <si>
    <t>Chương 3: Phản ứng có hại của thuốc, dị ứng thuốc</t>
  </si>
  <si>
    <t>1. Phản ứng có hại của thuốc</t>
  </si>
  <si>
    <t>2. Dị ứng thuốc</t>
  </si>
  <si>
    <t>Chương 4: Thông tin thuốc</t>
  </si>
  <si>
    <t>1. Phân loại thông tin thuốc</t>
  </si>
  <si>
    <t>2. Yêu cầu của thông tin thuốc.</t>
  </si>
  <si>
    <t>3. Qui trình thông tin thuốc</t>
  </si>
  <si>
    <t>Chương 5: Sử dụng thuốc cho các đối tượng đặc biệt</t>
  </si>
  <si>
    <t>1. Sử dụng thuốc trong điều trị cho trẻ em</t>
  </si>
  <si>
    <t>2. Sử dụng thuốc cho người cao tuổi</t>
  </si>
  <si>
    <t>3. Sử dụng thuốc ở phụ nữ có thai và cho con bú</t>
  </si>
  <si>
    <t>4. Trạng thái bệnh lý</t>
  </si>
  <si>
    <t>Chương 6: Nguyên tắc sử dụng vitamin và khoáng chất</t>
  </si>
  <si>
    <t>1. Nhu cầu hang ngày về vitamin và chất khoáng</t>
  </si>
  <si>
    <t>2. Thiếu vitamin và chất khoáng</t>
  </si>
  <si>
    <t>3. Thừa vitamin và chất khoáng</t>
  </si>
  <si>
    <t>4. Lựa chọn các chế phẩm</t>
  </si>
  <si>
    <t>Chương 7: Nguyên tắc sử dụng kháng sinh</t>
  </si>
  <si>
    <t>1. Những nguyên tắc sử dụng kháng sinh trong điều trị</t>
  </si>
  <si>
    <t>2. Những nguyên tắc sừ dụng kháng sinh dự phòng nhiễm khuẩn trong phẫu thuật</t>
  </si>
  <si>
    <t>Chương 8: Nguyên tắc sử dụng kháng viêm steroid</t>
  </si>
  <si>
    <t>1. Nhịp sinh lý của sự tiết hormone</t>
  </si>
  <si>
    <t>2. Chỉ định và lựa chọn thuốc</t>
  </si>
  <si>
    <t>3. Những lưu ý trong sử dụng glucocorticoid</t>
  </si>
  <si>
    <t>Chương 9: Nguyên tắc sử dụng thuốc giảm đau ngoại vi</t>
  </si>
  <si>
    <t>1. Một số đặc tính dược lý của thuốc giảm đau ngoại vi</t>
  </si>
  <si>
    <t>2. Nguyên tắc sử dụng thuốc giảm đau ngoại vi</t>
  </si>
  <si>
    <t>3. Các tương tác bất lợi cần tránh khi sừ dụng thuốc</t>
  </si>
  <si>
    <t>Chương 10: Sử dụng thuốc trong điều trị tăng huyết áp</t>
  </si>
  <si>
    <t>1. Định nghĩa</t>
  </si>
  <si>
    <t>2. Nguyên nhân và biến chứng do tăng huyết áp</t>
  </si>
  <si>
    <t>3. Chuẩn đoán</t>
  </si>
  <si>
    <t>4. Điều trị</t>
  </si>
  <si>
    <t>Chương 11: Sử dụng thuốc trong điều trị đái tháo đường</t>
  </si>
  <si>
    <t>2. Nguyên nhân- cơ chế sinh bệnh và biến chứng</t>
  </si>
  <si>
    <t>3. Phân loại đái tháo đuòng</t>
  </si>
  <si>
    <t>4. Chẩn đoán đái tháo đường</t>
  </si>
  <si>
    <t>5. Điều trị</t>
  </si>
  <si>
    <t>M026K3</t>
  </si>
  <si>
    <t>Unit 1: Pharmacy and pharmacists</t>
  </si>
  <si>
    <t>1. Vocabulary</t>
  </si>
  <si>
    <t xml:space="preserve">2. Reading </t>
  </si>
  <si>
    <t>3. Comprehension questions</t>
  </si>
  <si>
    <t>4. Practice exercise</t>
  </si>
  <si>
    <t>Unit 2: Drug forms and Dosage forms</t>
  </si>
  <si>
    <t>Unit 3: Drug Administration</t>
  </si>
  <si>
    <t>Unit 4: Pharmacokinetics</t>
  </si>
  <si>
    <t>Unit 5: Pharmacodynamics</t>
  </si>
  <si>
    <t>Unit 6: Prescription and dispensing</t>
  </si>
  <si>
    <t>Unit 7: Clinical Pharmacy</t>
  </si>
  <si>
    <t>Final Test</t>
  </si>
  <si>
    <t>M109K8</t>
  </si>
  <si>
    <r>
      <rPr>
        <sz val="14"/>
        <color rgb="FF000000"/>
        <rFont val="Times New Roman"/>
        <charset val="134"/>
      </rPr>
      <t>Bài 1:</t>
    </r>
    <r>
      <rPr>
        <b/>
        <sz val="14"/>
        <color rgb="FF000000"/>
        <rFont val="Times New Roman"/>
        <charset val="134"/>
      </rPr>
      <t xml:space="preserve"> </t>
    </r>
    <r>
      <rPr>
        <sz val="14"/>
        <color rgb="FF000000"/>
        <rFont val="Times New Roman"/>
        <charset val="134"/>
      </rPr>
      <t>Thực tập tại Khoa dược bệnh viện</t>
    </r>
  </si>
  <si>
    <t>1. Tìm hiểu chung về Khoa dược</t>
  </si>
  <si>
    <t>2. Công tác chuyên môn tại khoa Dược</t>
  </si>
  <si>
    <t>Bài 2. Thực tập tại Khoa Y học cổ truyền</t>
  </si>
  <si>
    <t>1. Tổng quan về y học cổ truyền và nguyên tắc điều trị</t>
  </si>
  <si>
    <t>2. Nhận biết và phân tích các bài thuốc Đông y phổ biến trong điều trị bệnh</t>
  </si>
  <si>
    <t>3. Thực hành sắc thuốc, thuốc thang và hướng dẫn bệnh nhân sử dụng</t>
  </si>
  <si>
    <t>Bài 3. Thực tập dược lâm sàng tại các khoa điều trị.</t>
  </si>
  <si>
    <t>1. Khoa nội tiêu hóa - máu</t>
  </si>
  <si>
    <t>2. Khoa nội tim - thận - khớp</t>
  </si>
  <si>
    <t>3. Khoa nội thần kinh</t>
  </si>
  <si>
    <t>4. Khoa truyền nhiễm</t>
  </si>
  <si>
    <t>Bài 4. Thực tập dược lâm sàng tại các Khoa chuyên khoa</t>
  </si>
  <si>
    <t>1. Khoa da liễu</t>
  </si>
  <si>
    <t>2. Khoa tai - mũi - họng</t>
  </si>
  <si>
    <t>3. Khoa răng - hàm - mặt</t>
  </si>
  <si>
    <t>Thi, kiểm tra kết thúc thực tập</t>
  </si>
  <si>
    <t>Kiểm tra: Theo chỉ tiêu thực tập, sổ tay thực tập
Thi kết thúc môn học: Viết báo cáo cuối kỳ thực tập, sổ tay thực tập.</t>
  </si>
  <si>
    <t>M110K8</t>
  </si>
  <si>
    <t>Chương 1: Hệ thống hoá các văn bản pháp quy trong lĩnh vực Dược - luật Dược</t>
  </si>
  <si>
    <t>1. Hệ thống hoá các văn bản pháp quy trong lĩnh vực Dược</t>
  </si>
  <si>
    <t>2. Luật Dược</t>
  </si>
  <si>
    <t>Chương 2: Các quy định về việc dự thảo, xét duyệt, ban hành và quản lý quy trình kỹ thuật pha chế sản xuất thuốc</t>
  </si>
  <si>
    <t>1. Quy định chung</t>
  </si>
  <si>
    <t>2. Xây dựng và ban hành quy trình kỹ thuật</t>
  </si>
  <si>
    <t>3. Nội dung của quy trình kỹ thuật áp dụng trong ngành y tế</t>
  </si>
  <si>
    <t xml:space="preserve">Chương 3: Quy định quản lý thuốc gây nghiện - thuốc hướng thần </t>
  </si>
  <si>
    <t>2. Kinh doanh</t>
  </si>
  <si>
    <t>3. Pha chế, cấp phát, sử dụng, bảo quản ở cơ sở y tế và trung tâm cai nghiện:</t>
  </si>
  <si>
    <t>4. Dự trù và duyệt dự trù</t>
  </si>
  <si>
    <t>5. Thanh tra, kiểm tra và xử lý vi phạm</t>
  </si>
  <si>
    <t>Chương 4: Quy định kê đơn và bán thuốc theo đơn</t>
  </si>
  <si>
    <t>2. Đơn thuốc và kê đơn thuốc</t>
  </si>
  <si>
    <t>Chương 5: Quy định về nhãn thuốc</t>
  </si>
  <si>
    <t>2. Nội dung của nhãn thuốc</t>
  </si>
  <si>
    <t>3. Cách ghi nhãn thuốc</t>
  </si>
  <si>
    <t>4. Kiểm tra, thanh tra và xử lý vi phạm</t>
  </si>
  <si>
    <t xml:space="preserve">Chương 6: Các quy định về thực hành tốt nhà thuốc </t>
  </si>
  <si>
    <t>2. Các tiêu chuẩn</t>
  </si>
  <si>
    <t>3. Các hoạt động chủ yếu của cơ sở</t>
  </si>
  <si>
    <t>Chương 7: Quy định về quản lý chất lượng thuốc</t>
  </si>
  <si>
    <t>2. Xây dựng, công bố và áp dụng tiêu chuẩn chất lượng thuốc</t>
  </si>
  <si>
    <t>3. Quản lý, kiểm tra chất lượng thuốc trong sản xuất, pha chế, lưu hành và sử dụng</t>
  </si>
  <si>
    <t>4. Đình chỉ lưu hành, thu hồi thuốc và xử lý vi phạm chất lượng thuốc</t>
  </si>
  <si>
    <t>5. Hệ thống kiệm nghiệm thuốc và hoạt động kiểm nghiệm thuốc</t>
  </si>
  <si>
    <t>6. Kiểm tra, thanh tra nhà nước về chất lượng thuốc:</t>
  </si>
  <si>
    <t>Kiểm tra: Tự luận, trắc nghiệm, tài tập
Thi kết thúc môn học: Tự luận hoặc trắc nghiệm</t>
  </si>
  <si>
    <t>M111K8</t>
  </si>
  <si>
    <t>Chương 1: Thuốc và chất lượng thuốc</t>
  </si>
  <si>
    <t>1. Chất lượng sản phẩm và tầm quan trọng:</t>
  </si>
  <si>
    <t>2. Thuốc và chất lượng thuốc:</t>
  </si>
  <si>
    <t>Chương 2: Công tác đảm bảo chất lượng thuốc</t>
  </si>
  <si>
    <t>1. Đại cương về đảm bảo chất lượng thuốc:</t>
  </si>
  <si>
    <t>2. Các giai đoạn quyết định đến chất lượng của thuốc, chu trình thuốc và các yếu tố ảnh hưởng đến chất lượng thuốc:</t>
  </si>
  <si>
    <t>3. Hệ thống tiêu chuẩn nhằm đảm bảo chất lượng thuốc:</t>
  </si>
  <si>
    <t>Chương 3: Thực hành tốt sản xuất thuốc và công tác đảm bảo chất lượng thuốc</t>
  </si>
  <si>
    <t>1. Khái niệm GMP:</t>
  </si>
  <si>
    <t>2. Một số khái niệm:</t>
  </si>
  <si>
    <t>3. Các quy định chính của thực hành tốt sản xuất thuốc:</t>
  </si>
  <si>
    <t>Chương 4: Thực hành tốt kiểm nghiệm thuốc và công tác đảm bảo chất lượng thuốc</t>
  </si>
  <si>
    <t>1. Một số nguyên tắc:</t>
  </si>
  <si>
    <t>3. Những quy định chính của thực hành tốt kiểm nghiệm thuốc:</t>
  </si>
  <si>
    <t>Chương 5: Thực hành tốt bảo quản thuốc và công tác đảm bảo chất lượng thuốc</t>
  </si>
  <si>
    <t>3. Những quy định chính của thực hành tốt bảo quản thuốc:</t>
  </si>
  <si>
    <t>Chương 6: Thực hành tốt phân phối thuốc và công tác đảm bảo chất lượng thuốc</t>
  </si>
  <si>
    <t>2. Đối tượng áp dụng:</t>
  </si>
  <si>
    <t>3. Một số khái niệm:</t>
  </si>
  <si>
    <t>4. Những quy định chính của thực hành tốt phân phối thuốc:</t>
  </si>
  <si>
    <t>Chương 7: Thực hành tốt nhà thuốc và công tác đảm bảo chất lượng thuốc</t>
  </si>
  <si>
    <t>1. Nguyên tắc:</t>
  </si>
  <si>
    <t>3. Các tiêu chuẩn:</t>
  </si>
  <si>
    <t>4. Các hoạt động chủ yếu của cơ sở bán lẻ thuốc:</t>
  </si>
  <si>
    <t>Chương 8: Hệ thống quản lý chất lượng thuốc trong thực tế</t>
  </si>
  <si>
    <t>1. Đại cương về quản lý chất lượng thuốc:</t>
  </si>
  <si>
    <t>2. Quản lý nhà nước về chất lượng thuốc:</t>
  </si>
  <si>
    <t>3. Quản lý chất lượng thuốc ở doanh nghiệp:</t>
  </si>
  <si>
    <t>Chương 9: Một số vấn đề cơ bản về hệ thống quản lý chất lượng ISO 9000</t>
  </si>
  <si>
    <t>1. Hệ thống quản lý chất lượng ISO 9000:</t>
  </si>
  <si>
    <t>2. Hệ thống quản lý chất lượng ISO 9001; 2000:</t>
  </si>
  <si>
    <t>M112K8</t>
  </si>
  <si>
    <t>PHẦN I</t>
  </si>
  <si>
    <t>Chương 1: Lịch sử ngành dược, tổ chức ngành Y tế và ngành dược Việt Nam</t>
  </si>
  <si>
    <t>1. Lịch sử ngành dược thế giới</t>
  </si>
  <si>
    <t>2. Lịch sử ngành dược Việt Nam</t>
  </si>
  <si>
    <t>3. Mô hình chung tổ chức ngành Y tế Việt Nam</t>
  </si>
  <si>
    <t>4. Nguyên tắc cơ bản trong tổ chức mạng lưới Y tế Việt Nam</t>
  </si>
  <si>
    <t>5. Hệ thống tổ chức ngành Y tế theo tổ chức hành chính Nhà nước</t>
  </si>
  <si>
    <t>6. Tổ chức ngành Dược Việt Nam</t>
  </si>
  <si>
    <t>Chương 2: Chính sách quốc gia về thuốc của Việt Nam</t>
  </si>
  <si>
    <t>1. Sự cần thiết phải có chính sách quốc gia về thuốc</t>
  </si>
  <si>
    <t>2. Mục tiêu của chính sách quốc gia về thuốc của Việt Nam</t>
  </si>
  <si>
    <t>3. Chính sách cụ thể</t>
  </si>
  <si>
    <t>Chương 3: Thuốc thiết yếu và chính sách quốc gia về thuốc thiết yếu</t>
  </si>
  <si>
    <t>1. Thuốc thiết yếu</t>
  </si>
  <si>
    <t>2. Chính sách quốc gia về thuốc thiết yếu</t>
  </si>
  <si>
    <t>3. Một số chính sách cung ứng thuốc đặc biệt</t>
  </si>
  <si>
    <t>4. Danh mục thuốc thiết yếu lần thứ VI</t>
  </si>
  <si>
    <t>PHẦN II</t>
  </si>
  <si>
    <t>Chương 1: Đại cương về doanh nghiệp và tài chính doanh nghiệp</t>
  </si>
  <si>
    <t>1. Kinh doanh</t>
  </si>
  <si>
    <t>2. Doanh nghiệp</t>
  </si>
  <si>
    <t>3. Chu kỳ kinh doanh và chu kỳ phát triển của doanh nghiệp</t>
  </si>
  <si>
    <t>4. Khái niệm tài chính doanh nghiệp</t>
  </si>
  <si>
    <t>5. Nội dung của tài chính doanh nghiệp</t>
  </si>
  <si>
    <t>6. Chức năng của tài chính doanh nghiệp</t>
  </si>
  <si>
    <t>Chương 2: Vốn kinh doanh</t>
  </si>
  <si>
    <t>1. Đại cương về vốn kinh doanh của doanh nghiệp</t>
  </si>
  <si>
    <t>2. Vốn cố định của doanh nghiệp</t>
  </si>
  <si>
    <t>3. Vốn lưu động của doanh nghiệp</t>
  </si>
  <si>
    <t>Chương 3: Chi phí, giá thành sản phẩm và lợi nhuận của doanh nghiệp</t>
  </si>
  <si>
    <t>1. Chi phí kinh doanh của doanh nghiệp</t>
  </si>
  <si>
    <t>2. Giá thành sản phẩm</t>
  </si>
  <si>
    <t>3. Điểm hòa vốn</t>
  </si>
  <si>
    <t>4. Doanh thu của doanh nghiệp</t>
  </si>
  <si>
    <t>5. Lợi nhuận của doanh nghiệp</t>
  </si>
  <si>
    <t>6. Phương hướng tăng, phân phối lợi nhuận</t>
  </si>
  <si>
    <t>PHẦN III</t>
  </si>
  <si>
    <t>Chương 1: Đại cương của quản trị học</t>
  </si>
  <si>
    <t>1. Một số khái niệm cơ bản</t>
  </si>
  <si>
    <t>2. Đặc điểm của quản trị</t>
  </si>
  <si>
    <t xml:space="preserve">3. Các phương pháp quản trị </t>
  </si>
  <si>
    <t>4. Phong cách quản trị</t>
  </si>
  <si>
    <t>5. Nghệ thuật quản trị</t>
  </si>
  <si>
    <t>Chương 2: Các phương pháp phân tích hiện đại của quản trị học</t>
  </si>
  <si>
    <t>1. Phương pháp phân tích SWOT</t>
  </si>
  <si>
    <t>2. Phương pháp phân tích SMART</t>
  </si>
  <si>
    <t>3. Phương pháp phân tích 3C</t>
  </si>
  <si>
    <t>4. Phương pháp phân tích PEST</t>
  </si>
  <si>
    <t>5. Phương pháp phân tích 7S</t>
  </si>
  <si>
    <t>Chương 3: Các trường phái của quản trị</t>
  </si>
  <si>
    <t>1. Các trường phái quản trị cổ điển</t>
  </si>
  <si>
    <t>2. Nhóm lý thuyết tác phong</t>
  </si>
  <si>
    <t>3. Trường phái quản trị hệ thống</t>
  </si>
  <si>
    <t>4. Trường phái quản trị theo tình huống</t>
  </si>
  <si>
    <t>5. Trường phái quản trị truyền thống phương Đông</t>
  </si>
  <si>
    <t>6. Trường phái quản trị định lượng</t>
  </si>
  <si>
    <t>7. Một số khuynh hướng quản trị hiện đại</t>
  </si>
  <si>
    <t>Chương 4: Môi trường kinh doanh  và văn hóa của doanh nghiệp</t>
  </si>
  <si>
    <t>1. Khái niệm và đặc điểm</t>
  </si>
  <si>
    <t>2. Phân loại</t>
  </si>
  <si>
    <t>3. Môi trường vĩ mô</t>
  </si>
  <si>
    <t>4. Môi trường đặc thù</t>
  </si>
  <si>
    <t>5. Khái niệm, đặc trưng, vai trò của văn hóa doanh nghiệp</t>
  </si>
  <si>
    <t>6. Các yếu tố cấu thành văn hoá doanh nghiệp</t>
  </si>
  <si>
    <t>M069K7</t>
  </si>
  <si>
    <t>Kỹ năng giao tiếp cơ bản.</t>
  </si>
  <si>
    <t>Kỹ năng giao tiếp với thầy cô và văn hóa giao tiếp của sinh viên y khoa</t>
  </si>
  <si>
    <t>Kỹ năng giao tiếp với người bệnh và gia đình người bệnh.</t>
  </si>
  <si>
    <t>Kỹ năng giao tiếp với người dưới 18 tuổi</t>
  </si>
  <si>
    <t>Kỹ năng giao tiếp với những nhóm người đặc biệt</t>
  </si>
  <si>
    <t>Kỹ năng cung cấp thông tin và thông báo tin xấu.</t>
  </si>
  <si>
    <t>Kỹ năng giao tiếp với đồng nghiệp.</t>
  </si>
  <si>
    <t>Kỹ năng giao tiếp trong nhóm chăm sóc sức khỏe.</t>
  </si>
  <si>
    <t>Stress</t>
  </si>
  <si>
    <t>Kỹ năng làm việc nhóm</t>
  </si>
  <si>
    <t>Kiểm tra: Tự luận, trắc nghiệm, đóng vai tình huống, quan sát đánh giá
Thi kết thúc môn học: Trắc nghiệm</t>
  </si>
  <si>
    <t>M113K8</t>
  </si>
  <si>
    <t xml:space="preserve">Bài 1: Tổ chức và hoạt động của khoa Dược bệnh viện </t>
  </si>
  <si>
    <t>1. Giới thiệu cơ cấu tổ chức, chức năng nhiệm vụ của khoa Dược</t>
  </si>
  <si>
    <t>2. Vai trò của Dược sĩ trong bệnh viện</t>
  </si>
  <si>
    <t>3. Mối liên hệ giữa khoa Dược và các khoa khác trong bệnh viện</t>
  </si>
  <si>
    <t>4. Các quy chế chuyên môn áp dụng trong khoa Dược quản lý thuốc, kiểm soát nhiễm khuẩn, bảo quản thuốc…</t>
  </si>
  <si>
    <t xml:space="preserve">Bài 2: Quản lý và cấp phát thuốc </t>
  </si>
  <si>
    <t>1. Quan sát và tham gia quy trình tiếp nhận thuốc từ kho dược</t>
  </si>
  <si>
    <t>2. Cách kiểm tra hóa đơn, nhãn thuốc, lô sản xuất, hạn dùng</t>
  </si>
  <si>
    <t>3. Cấp phát thuốc theo phiếu lĩnh của các khoa lâm sàng</t>
  </si>
  <si>
    <t>4. Ghi chép, lưu trữ chứng từ cấp phát thuốc</t>
  </si>
  <si>
    <t>5. Tham gia kiểm kê thuốc tại kho, khoa lâm sàng</t>
  </si>
  <si>
    <t>6. Kiểm soát thuốc gây nghiện, hướng tâm thần, thuốc biệt dược</t>
  </si>
  <si>
    <t xml:space="preserve">Bài 3: Thực hành Dược lâm sàng và tư vấn sử dụng thuốc </t>
  </si>
  <si>
    <t>1. Đọc và phân tích đơn thuốc nội trú, ngoại trú</t>
  </si>
  <si>
    <t>2. Nhận biết các sai sót thường gặp trong kê đơn</t>
  </si>
  <si>
    <t>3. Tham gia cùng Dược sĩ theo dõi điều trị thuốc tại một số khoa lâm sàng</t>
  </si>
  <si>
    <t xml:space="preserve">4. Tư vấn sử dụng thuốc cho bệnh nhân ngoại trú </t>
  </si>
  <si>
    <t>5. Hướng dẫn sử dụng thuốc kháng sinh, thuốc tiêm, thuốc đặc trị</t>
  </si>
  <si>
    <t>6. Theo dõi và ghi nhận phản ứng có hại của thuốc (ADR)</t>
  </si>
  <si>
    <t xml:space="preserve">Bài 4: Thực hành pha chế thuốc trong bệnh viện </t>
  </si>
  <si>
    <t>1. Tham quan phòng pha chế: vô khuẩn và không vô khuẩn</t>
  </si>
  <si>
    <t>2. Thực hành pha một số dạng thuốc đơn giản thuốc nước, thuốc bột pha hỗn dịch, dung dịch rửa, viên hoàn…</t>
  </si>
  <si>
    <t xml:space="preserve">3. Tham gia sản xuất theo quy trình chuẩn </t>
  </si>
  <si>
    <t>4. Ghi chép lệnh pha chế và nhật ký sản xuất</t>
  </si>
  <si>
    <t>5. Kiểm tra chất lượng sơ bộ thành phẩm pha chế</t>
  </si>
  <si>
    <t xml:space="preserve">Bài 5: Quản lý kho thuốc và kiểm tra chất lượng thuốc </t>
  </si>
  <si>
    <t>1. Phân loại kho thuốc thường, thuốc lạnh, thuốc độc, thuốc gây nghiện…</t>
  </si>
  <si>
    <t>2. Kiểm tra điều kiện bảo quản nhiệt độ, độ ẩm, vệ sinh...</t>
  </si>
  <si>
    <t>3. Quan sát quy trình xử lý thuốc hư, thuốc hết hạn</t>
  </si>
  <si>
    <t>4. Học cách nhận diện thuốc giả, thuốc kém chất lượng</t>
  </si>
  <si>
    <t xml:space="preserve">5. Áp dụng phần mềm quản lý kho </t>
  </si>
  <si>
    <t>6. Kiểm tra nhãn thuốc, hạn dùng, mẫu lưu</t>
  </si>
  <si>
    <t>M114K8</t>
  </si>
  <si>
    <t>Bài 1.  Giới thiệu tổng quan về nhà thuốc GPP</t>
  </si>
  <si>
    <t>1. Tìm hiểu mô hình tổ chức nhà thuốc</t>
  </si>
  <si>
    <t>2. Quy định GPP và các văn bản pháp luật liên quan</t>
  </si>
  <si>
    <t>3. Tham quan, quan sát hoạt động chung của nhà thuốc</t>
  </si>
  <si>
    <r>
      <rPr>
        <b/>
        <sz val="14"/>
        <color rgb="FF000000"/>
        <rFont val="Times New Roman"/>
        <charset val="134"/>
      </rPr>
      <t xml:space="preserve"> </t>
    </r>
    <r>
      <rPr>
        <sz val="14"/>
        <color rgb="FF000000"/>
        <rFont val="Times New Roman"/>
        <charset val="134"/>
      </rPr>
      <t>Bài 2: Thực hành chuyên môn tại nhà thuốc</t>
    </r>
  </si>
  <si>
    <t xml:space="preserve"> 1. Nhận biết, phân loại và sắp xếp thuốc</t>
  </si>
  <si>
    <t xml:space="preserve">2. Kiểm tra, bảo quản thuốc tại nhà </t>
  </si>
  <si>
    <t>3. Hướng dẫn sử dụng thuốc cho người bệnh</t>
  </si>
  <si>
    <t>Bài 3: Quy trình bán thuốc tại nhà thuốc GPP</t>
  </si>
  <si>
    <t>1. Tiếp nhận đơn thuốc và phân tích đơn thuốc</t>
  </si>
  <si>
    <t>2. Cấp và tư vấn sử dụng</t>
  </si>
  <si>
    <t>3. Ghi chép và lưu trữ thông tin</t>
  </si>
  <si>
    <t>Bài 4: Kỹ năng mềm và đạo đức nghề nghiệp</t>
  </si>
  <si>
    <t>1. Giao tiếp với khách hàng</t>
  </si>
  <si>
    <t>2. Ứng xử trong môi trường nhà thuốc</t>
  </si>
  <si>
    <t>3. Rèn luyện đạo đức, tác phong nghề nghiệp</t>
  </si>
  <si>
    <t>M115K8</t>
  </si>
  <si>
    <t>Bài 1: Đại cương về tồn trữ và quản lý kho dược</t>
  </si>
  <si>
    <t>1. Chức năng, nhiệm vụ và phân loại kho dược</t>
  </si>
  <si>
    <t>2. Địa điểm và thiết kế của  một  kho dược</t>
  </si>
  <si>
    <t>3. Diện tích và cách bố trí kho dược</t>
  </si>
  <si>
    <t>4. Các trang thiết bị trong kho dược</t>
  </si>
  <si>
    <t>Bài 2: Qui định thực hành bảo quản thuốc</t>
  </si>
  <si>
    <t>2. Thực hành tốt bảo quản thuốc</t>
  </si>
  <si>
    <t>Bài 3: Bảo quản thuốc</t>
  </si>
  <si>
    <t>1. Các yếu tố ảnh hưởng đến chất lượng thuốc</t>
  </si>
  <si>
    <t>2. Bảo quản các dạng chế phẩm</t>
  </si>
  <si>
    <t>3. Bảo quản hoá chất</t>
  </si>
  <si>
    <t>4. Bảo quản dược liệu thảo mộc</t>
  </si>
  <si>
    <t>Bài 4: Bảo quản dụng cụ y tế</t>
  </si>
  <si>
    <t>1. Bảo quản dụng cụ thuỷ tinh</t>
  </si>
  <si>
    <t>2. Bảo quản dụng cụ cao su</t>
  </si>
  <si>
    <t>3. Bảo quảndụng cụ chất dẻo</t>
  </si>
  <si>
    <t>4. Bông, băng, gạc, chỉ phẫu thuật</t>
  </si>
  <si>
    <t>Kiểm tra: Tự luận, trắc nghiệm, bài tập
Thi kết thúc môn học: Tự luận hoăc trắc nghiệm</t>
  </si>
  <si>
    <t>M116K8</t>
  </si>
  <si>
    <t>Chương 1: Các bài thuốc cổ truyền</t>
  </si>
  <si>
    <t>1. Đại cương về các bài thuốc cổ truyền</t>
  </si>
  <si>
    <t xml:space="preserve">2. Các loại bài thuốc </t>
  </si>
  <si>
    <t xml:space="preserve">3. Cách kê đơn thuốc </t>
  </si>
  <si>
    <t>Chương 2: Bào chế các dạng thuốc có thể chất rắn</t>
  </si>
  <si>
    <t>1. Thuốc thang</t>
  </si>
  <si>
    <t>2. Chè thuốc</t>
  </si>
  <si>
    <t>3. Thuốc tán</t>
  </si>
  <si>
    <t>4. Thuốc hoàn</t>
  </si>
  <si>
    <t>5. Cốm thuốc</t>
  </si>
  <si>
    <t>Chương 3: Bào chế các dạng thuốc có thể chất lỏng và mềm</t>
  </si>
  <si>
    <t>1. Rượu thuốc</t>
  </si>
  <si>
    <t>2. Cao thuốc</t>
  </si>
  <si>
    <t>3. Thuốc dầu</t>
  </si>
  <si>
    <t>4. Thuốc cao dán</t>
  </si>
  <si>
    <t>Bài 1: Kỹ thuật bào chế thuóc thang</t>
  </si>
  <si>
    <t>Bài 2: Kỹ thuật bào chế chè thuốc</t>
  </si>
  <si>
    <t>Bài 3: Kỹ thuật bào chế cao lỏng</t>
  </si>
  <si>
    <t>Bài 4: Kỹ thuật bào chế viên tể</t>
  </si>
  <si>
    <t>M117K8</t>
  </si>
  <si>
    <t>Chương 1: Đại cương về marketing</t>
  </si>
  <si>
    <t>1. Sự ra đời của marketing</t>
  </si>
  <si>
    <t>2. Các khái niệm cơ bản của marketing</t>
  </si>
  <si>
    <t>3. Mục tiêu, vai trò và chức năng của marketing</t>
  </si>
  <si>
    <t>4. Các thành phần cơ bản của maketing</t>
  </si>
  <si>
    <t>5. Maketing hỗn hợp (marketing – mix)</t>
  </si>
  <si>
    <t xml:space="preserve">Chương 2: Chính sách marketing </t>
  </si>
  <si>
    <t>1. Chính sách sản phẩm</t>
  </si>
  <si>
    <t>2. Chính sách giá</t>
  </si>
  <si>
    <t>3. Chính sách phân phối</t>
  </si>
  <si>
    <t>4. Chính sách xúc tiến và hỗ trợ kinh doanh</t>
  </si>
  <si>
    <t>Chương 3: Marketing dược</t>
  </si>
  <si>
    <t>1. Khái niệm marketing dược</t>
  </si>
  <si>
    <t>2. Mục tiêu, vai trò marketing dược</t>
  </si>
  <si>
    <t>3. Đặc điểm marketing dược</t>
  </si>
  <si>
    <t>4. Yêu cầu của marketing dược</t>
  </si>
  <si>
    <t>5. Đặc trưng trong quan hệ trao đổi trên thị trường thuốc</t>
  </si>
  <si>
    <t>6. Các yếu tố ảnh hưởng đến marketing dược</t>
  </si>
  <si>
    <t>7. Nội dung của marketing dược</t>
  </si>
  <si>
    <t>PHẦN I: THỰC TẬP BỆNH VIỆN</t>
  </si>
  <si>
    <t>Bài 1: Tổ chức và hoạt động của khoa Dược bệnh viện</t>
  </si>
  <si>
    <t>1. Tìm hiểu cơ cấu, chức năng, nhiệm vụ của Khoa dược</t>
  </si>
  <si>
    <t>3. Mối quan hệ giữa khoa dược và các khoa lâm sàng</t>
  </si>
  <si>
    <t>1. Tiếp nhận, kiểm tra, bảo quản và cấp phát thuốc</t>
  </si>
  <si>
    <t>2. Kiểm tra hạn dùng, nhãn, số lô, điều kiện bảo quản</t>
  </si>
  <si>
    <t>3. Phân biệt và xử lý thuốc gây nghiện, hướng thần, biệt dược</t>
  </si>
  <si>
    <t xml:space="preserve">Bài 3: Thực hành Dược lâm sàng – tư vấn sử dụng thuốc </t>
  </si>
  <si>
    <t>1. Phân tích đơn thuốc nội trú, ngoại trú</t>
  </si>
  <si>
    <t>2. Nhận biết sai sót, tư vấn sử dụng thuốc hợp lý</t>
  </si>
  <si>
    <t>3. Theo dõi phản ứng có hại của thuốc (ADR)</t>
  </si>
  <si>
    <t>Bài 4: Thực hành pha chế thuốc</t>
  </si>
  <si>
    <t>1. Tham gia pha chế một số thuốc thường dùng thuốc nước, dung dịch, viên hoàn...</t>
  </si>
  <si>
    <t>2. Tuân thủ kỹ thuật vô khuẩn, ghi chép nhật ký pha chế</t>
  </si>
  <si>
    <t>Bài 5: Quản lý kho thuốc và kiểm tra chất lượng thuốc</t>
  </si>
  <si>
    <t>1. Quan sát và thực hành nhập, xuất, kiểm kê</t>
  </si>
  <si>
    <t>2. Kiểm tra điều kiện bảo quản, phát hiện thuốc hư, kém chất lượng</t>
  </si>
  <si>
    <t>3. Ghi chép sổ kho, sử dụng phần mềm quản lý kho</t>
  </si>
  <si>
    <t xml:space="preserve">Bài 6: Kỹ năng mềm và đạo đức nghề nghiệp </t>
  </si>
  <si>
    <t>1. Giao tiếp trong môi trường y tế</t>
  </si>
  <si>
    <t>2. Thái độ, tác phong nghề nghiệp</t>
  </si>
  <si>
    <t>3. Tuân thủ quy định bệnh viện và giữ bí mật thông tin người bệnh</t>
  </si>
  <si>
    <t>PHẦN II: THỰC TẬP NHÀ THUỐC</t>
  </si>
  <si>
    <t>1. Nhận biết, phân loại và sắp xếp thuốc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</si>
</sst>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0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4"/>
      <name val="Times New Roman"/>
      <charset val="134"/>
    </font>
    <font>
      <b/>
      <sz val="14"/>
      <color rgb="FF000000"/>
      <name val="Times New Roman"/>
      <charset val="134"/>
    </font>
    <font>
      <sz val="14"/>
      <color theme="0"/>
      <name val="Times New Roman"/>
      <charset val="134"/>
    </font>
    <font>
      <sz val="14"/>
      <name val="Times New Roman"/>
      <charset val="134"/>
    </font>
    <font>
      <sz val="14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4"/>
      <color theme="1"/>
      <name val="Times New Roman"/>
      <charset val="134"/>
    </font>
    <font>
      <vertAlign val="subscript"/>
      <sz val="14"/>
      <color theme="1"/>
      <name val="Times New Roman"/>
      <charset val="134"/>
    </font>
    <font>
      <vertAlign val="subscript"/>
      <sz val="14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96795556505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 tint="-0.249946592608417"/>
      </left>
      <right/>
      <top style="thin">
        <color auto="1"/>
      </top>
      <bottom/>
      <diagonal/>
    </border>
    <border>
      <left/>
      <right style="thin">
        <color theme="0" tint="-0.249946592608417"/>
      </right>
      <top style="thin">
        <color auto="1"/>
      </top>
      <bottom/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7" borderId="20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0" fontId="2" fillId="0" borderId="4" xfId="0" applyFont="1" applyFill="1" applyBorder="1" applyAlignment="1">
      <alignment horizontal="left"/>
    </xf>
    <xf numFmtId="0" fontId="1" fillId="0" borderId="0" xfId="0" applyFont="1" applyFill="1" applyAlignment="1"/>
    <xf numFmtId="0" fontId="3" fillId="0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6" xfId="0" applyFont="1" applyFill="1" applyBorder="1" applyAlignment="1">
      <alignment horizontal="left" wrapText="1"/>
    </xf>
    <xf numFmtId="0" fontId="1" fillId="0" borderId="7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justify" vertical="center" wrapText="1"/>
    </xf>
    <xf numFmtId="0" fontId="2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justify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top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justify" vertical="center" wrapText="1"/>
    </xf>
    <xf numFmtId="0" fontId="6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justify" vertical="center" wrapText="1"/>
    </xf>
    <xf numFmtId="0" fontId="4" fillId="0" borderId="2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justify" vertical="center" wrapText="1"/>
    </xf>
    <xf numFmtId="0" fontId="1" fillId="0" borderId="8" xfId="0" applyFont="1" applyFill="1" applyBorder="1" applyAlignment="1">
      <alignment horizontal="left" wrapText="1"/>
    </xf>
    <xf numFmtId="0" fontId="1" fillId="0" borderId="9" xfId="0" applyFont="1" applyFill="1" applyBorder="1" applyAlignment="1">
      <alignment horizontal="left" wrapText="1"/>
    </xf>
    <xf numFmtId="0" fontId="1" fillId="0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justify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justify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1" fillId="0" borderId="7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justify" vertical="center" wrapText="1"/>
    </xf>
    <xf numFmtId="0" fontId="7" fillId="0" borderId="7" xfId="0" applyFont="1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LUU Desktop\L&#432;u E\&#272;INH V&#258;N H&#192;\V&#258;N B&#7842;N BL&#272;TBXH\CH&#431;&#416;NG TR&#204;NH &#272;&#192;O T&#7840;O\Ch&#432;&#417;ng tr&#236;nh &#272;T DS, QS-in\Ch&#432;&#417;ng tr&#236;nh &#272;T_QY2\Chuongtrinh-&#272;D, D&#431;&#7906;C, TCY-2025\File-BC-5\Ch&#432;&#417;ng tr&#236;nh h&#7885;p H&#272;&#272;T-27.8.2025\Khung\Khung ch&#432;&#417;ng tr&#236;nh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YS TC"/>
      <sheetName val="YSĐK 1 năm"/>
      <sheetName val="ĐD 1 năm"/>
      <sheetName val="YSĐK 3 năm"/>
      <sheetName val="ĐD 3 năm"/>
      <sheetName val="YSĐK DS 3 năm"/>
      <sheetName val="ĐD DS 3 năm"/>
      <sheetName val="Dược DS 3 năm"/>
      <sheetName val="Tổng hợp mã môn họ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>Tên môn học</v>
          </cell>
          <cell r="C1" t="str">
            <v>Mã môn học</v>
          </cell>
        </row>
        <row r="2">
          <cell r="B2">
            <v>0</v>
          </cell>
          <cell r="C2">
            <v>0</v>
          </cell>
        </row>
        <row r="3">
          <cell r="B3" t="str">
            <v>Khoa Quân sự chung</v>
          </cell>
        </row>
        <row r="4">
          <cell r="B4" t="str">
            <v>Giáo dục thể chất</v>
          </cell>
          <cell r="C4" t="str">
            <v>M001K1</v>
          </cell>
        </row>
        <row r="5">
          <cell r="B5" t="str">
            <v>Quân sự chung</v>
          </cell>
          <cell r="C5" t="str">
            <v>M002K1</v>
          </cell>
        </row>
        <row r="6">
          <cell r="B6" t="str">
            <v>Huấn luyện thể lực</v>
          </cell>
          <cell r="C6" t="str">
            <v>M003K1</v>
          </cell>
        </row>
        <row r="7">
          <cell r="B7" t="str">
            <v>Điều lệnh đội ngũ</v>
          </cell>
          <cell r="C7" t="str">
            <v>M004K1</v>
          </cell>
        </row>
        <row r="8">
          <cell r="B8" t="str">
            <v>Điều lệnh</v>
          </cell>
          <cell r="C8" t="str">
            <v>M005K1</v>
          </cell>
        </row>
        <row r="9">
          <cell r="B9" t="str">
            <v>Kỹ thuật chiến đấu bộ binh</v>
          </cell>
          <cell r="C9" t="str">
            <v>M006K1</v>
          </cell>
        </row>
        <row r="10">
          <cell r="B10" t="str">
            <v>Chiến thuật bộ binh</v>
          </cell>
          <cell r="C10" t="str">
            <v>M007K1</v>
          </cell>
        </row>
        <row r="11">
          <cell r="B11" t="str">
            <v>Giáo dục quốc phòng và An ninh</v>
          </cell>
          <cell r="C11" t="str">
            <v>M008K1</v>
          </cell>
        </row>
        <row r="12">
          <cell r="B12" t="str">
            <v>Khoa Khoa học xã hội và nhân văn</v>
          </cell>
        </row>
        <row r="13">
          <cell r="B13" t="str">
            <v>Lý luận chính trị</v>
          </cell>
          <cell r="C13" t="str">
            <v>M009K2</v>
          </cell>
        </row>
        <row r="14">
          <cell r="B14" t="str">
            <v>Lịch sử Đảng Cộng sản Việt Nam</v>
          </cell>
          <cell r="C14" t="str">
            <v>M010K2</v>
          </cell>
        </row>
        <row r="15">
          <cell r="B15" t="str">
            <v>Nhà nước và Pháp luật</v>
          </cell>
          <cell r="C15" t="str">
            <v>M011K2</v>
          </cell>
        </row>
        <row r="16">
          <cell r="B16" t="str">
            <v>Công tác đảng, công tác chính trị</v>
          </cell>
          <cell r="C16" t="str">
            <v>M012K2</v>
          </cell>
        </row>
        <row r="17">
          <cell r="B17" t="str">
            <v>Tâm lý học quân sự</v>
          </cell>
          <cell r="C17" t="str">
            <v>M013K2</v>
          </cell>
        </row>
        <row r="18">
          <cell r="B18" t="str">
            <v>Triết học Mác - Lênin</v>
          </cell>
          <cell r="C18" t="str">
            <v>M014K2</v>
          </cell>
        </row>
        <row r="19">
          <cell r="B19" t="str">
            <v>Kinh tế chính trị học Mác - Lênin</v>
          </cell>
          <cell r="C19" t="str">
            <v>M015K2</v>
          </cell>
        </row>
        <row r="20">
          <cell r="B20" t="str">
            <v>Chủ nghĩa xã hội khoa học</v>
          </cell>
          <cell r="C20" t="str">
            <v>M016K2</v>
          </cell>
        </row>
        <row r="21">
          <cell r="B21" t="str">
            <v>Tư tưởng Hồ Chí Minh</v>
          </cell>
          <cell r="C21" t="str">
            <v>M017K2</v>
          </cell>
        </row>
        <row r="22">
          <cell r="B22" t="str">
            <v>Y đức</v>
          </cell>
          <cell r="C22" t="str">
            <v>M018K2</v>
          </cell>
        </row>
        <row r="23">
          <cell r="B23" t="str">
            <v>Giáo dục chính trị</v>
          </cell>
          <cell r="C23" t="str">
            <v>M019K2</v>
          </cell>
        </row>
        <row r="24">
          <cell r="B24" t="str">
            <v>Pháp luật</v>
          </cell>
          <cell r="C24" t="str">
            <v>M020K2</v>
          </cell>
        </row>
        <row r="25">
          <cell r="B25" t="str">
            <v>Tâm lý học - Y đức</v>
          </cell>
          <cell r="C25" t="str">
            <v>M021K2</v>
          </cell>
        </row>
        <row r="26">
          <cell r="B26" t="str">
            <v>Khoa Khoa học cơ bản</v>
          </cell>
        </row>
        <row r="27">
          <cell r="B27" t="str">
            <v>Tin học và chuyển đổi số</v>
          </cell>
          <cell r="C27" t="str">
            <v>M022K3</v>
          </cell>
        </row>
        <row r="28">
          <cell r="B28" t="str">
            <v>Tiếng Anh cơ bản</v>
          </cell>
          <cell r="C28" t="str">
            <v>M023K3</v>
          </cell>
        </row>
        <row r="29">
          <cell r="B29" t="str">
            <v>Xác suất, thống kê y học</v>
          </cell>
          <cell r="C29" t="str">
            <v>M024K3</v>
          </cell>
        </row>
        <row r="30">
          <cell r="B30" t="str">
            <v>Phương pháp nghiên cứu khoa học</v>
          </cell>
          <cell r="C30" t="str">
            <v>M025K3</v>
          </cell>
        </row>
        <row r="31">
          <cell r="B31" t="str">
            <v>Tiếng Anh chuyên ngành</v>
          </cell>
          <cell r="C31" t="str">
            <v>M026K3</v>
          </cell>
        </row>
        <row r="32">
          <cell r="B32" t="str">
            <v>Khoa Y học cơ sở</v>
          </cell>
        </row>
        <row r="33">
          <cell r="B33" t="str">
            <v>Giải phẫu</v>
          </cell>
          <cell r="C33" t="str">
            <v>M027K4</v>
          </cell>
        </row>
        <row r="34">
          <cell r="B34" t="str">
            <v>Sinh lý</v>
          </cell>
          <cell r="C34" t="str">
            <v>M028K4</v>
          </cell>
        </row>
        <row r="35">
          <cell r="B35" t="str">
            <v>Vi sinh vật - Ký sinh trùng</v>
          </cell>
          <cell r="C35" t="str">
            <v>M029K4</v>
          </cell>
        </row>
        <row r="36">
          <cell r="B36" t="str">
            <v>Phẫu thuật thực hành</v>
          </cell>
          <cell r="C36" t="str">
            <v>M030K4</v>
          </cell>
        </row>
        <row r="37">
          <cell r="B37" t="str">
            <v>Sinh học và Di truyền</v>
          </cell>
          <cell r="C37" t="str">
            <v>M031K4</v>
          </cell>
        </row>
        <row r="38">
          <cell r="B38" t="str">
            <v>Mô phôi</v>
          </cell>
          <cell r="C38" t="str">
            <v>M032K4</v>
          </cell>
        </row>
        <row r="39">
          <cell r="B39" t="str">
            <v>Hóa sinh</v>
          </cell>
          <cell r="C39" t="str">
            <v>M033K4</v>
          </cell>
        </row>
        <row r="40">
          <cell r="B40" t="str">
            <v>Sinh lý bệnh - Miễn dịch</v>
          </cell>
          <cell r="C40" t="str">
            <v>M034K4</v>
          </cell>
        </row>
        <row r="41">
          <cell r="B41" t="str">
            <v>Giải phẫu - Sinh lý</v>
          </cell>
          <cell r="C41" t="str">
            <v>M035K4</v>
          </cell>
        </row>
        <row r="42">
          <cell r="B42" t="str">
            <v>Khoa Y học lâm sàng</v>
          </cell>
        </row>
        <row r="43">
          <cell r="B43" t="str">
            <v>Triệu chứng</v>
          </cell>
          <cell r="C43" t="str">
            <v>M036K5</v>
          </cell>
        </row>
        <row r="44">
          <cell r="B44" t="str">
            <v>Bệnh học Nội khoa</v>
          </cell>
          <cell r="C44" t="str">
            <v>M038K5</v>
          </cell>
        </row>
        <row r="45">
          <cell r="B45" t="str">
            <v>Bệnh học Truyền nhiễm - Xã hội</v>
          </cell>
          <cell r="C45" t="str">
            <v>M039K5</v>
          </cell>
        </row>
        <row r="46">
          <cell r="B46" t="str">
            <v>Bệnh học Ngoại khoa</v>
          </cell>
          <cell r="C46" t="str">
            <v>M040K5</v>
          </cell>
        </row>
        <row r="47">
          <cell r="B47" t="str">
            <v>Bệnh học Sản - Phụ khoa</v>
          </cell>
          <cell r="C47" t="str">
            <v>M041K5</v>
          </cell>
        </row>
        <row r="48">
          <cell r="B48" t="str">
            <v>Bệnh học Nhi khoa</v>
          </cell>
          <cell r="C48" t="str">
            <v>M042K5</v>
          </cell>
        </row>
        <row r="49">
          <cell r="B49" t="str">
            <v>Y học cổ truyền</v>
          </cell>
          <cell r="C49" t="str">
            <v>M043K5</v>
          </cell>
        </row>
        <row r="50">
          <cell r="B50" t="str">
            <v>Bệnh học Chuyên khoa</v>
          </cell>
          <cell r="C50" t="str">
            <v>M044K5</v>
          </cell>
        </row>
        <row r="51">
          <cell r="B51" t="str">
            <v>Thực tập bệnh viện vòng 1</v>
          </cell>
          <cell r="C51" t="str">
            <v>M045K5</v>
          </cell>
        </row>
        <row r="52">
          <cell r="B52" t="str">
            <v>Thực tập bệnh viện vòng 2</v>
          </cell>
          <cell r="C52" t="str">
            <v>M046K5</v>
          </cell>
        </row>
        <row r="53">
          <cell r="B53" t="str">
            <v>Thực tập tốt nghiệp tuyến bệnh viện</v>
          </cell>
          <cell r="C53" t="str">
            <v>M047K5</v>
          </cell>
        </row>
        <row r="54">
          <cell r="B54" t="str">
            <v>Thực tập bệnh viện</v>
          </cell>
          <cell r="C54" t="str">
            <v>M048K5</v>
          </cell>
        </row>
        <row r="55">
          <cell r="B55" t="str">
            <v>Phục hồi chức năng</v>
          </cell>
          <cell r="C55" t="str">
            <v>M049K5</v>
          </cell>
        </row>
        <row r="56">
          <cell r="B56" t="str">
            <v>Bệnh học </v>
          </cell>
          <cell r="C56" t="str">
            <v>M050K5</v>
          </cell>
        </row>
        <row r="57">
          <cell r="B57" t="str">
            <v>Khoa Y học quân sự</v>
          </cell>
        </row>
        <row r="58">
          <cell r="B58" t="str">
            <v>Tổ chức chiến thuật quân y - Y tế công cộng</v>
          </cell>
          <cell r="C58" t="str">
            <v>M051K6</v>
          </cell>
        </row>
        <row r="59">
          <cell r="B59" t="str">
            <v>Vệ sinh học quân sự</v>
          </cell>
          <cell r="C59" t="str">
            <v>M052K6</v>
          </cell>
        </row>
        <row r="60">
          <cell r="B60" t="str">
            <v>Dịch tễ học quân sự</v>
          </cell>
          <cell r="C60" t="str">
            <v>M053K6</v>
          </cell>
        </row>
        <row r="61">
          <cell r="B61" t="str">
            <v>Độc học quân sự</v>
          </cell>
          <cell r="C61" t="str">
            <v>M054K6</v>
          </cell>
        </row>
        <row r="62">
          <cell r="B62" t="str">
            <v>Cấp cứu đầu tiên</v>
          </cell>
          <cell r="C62" t="str">
            <v>M055K6</v>
          </cell>
        </row>
        <row r="63">
          <cell r="B63" t="str">
            <v>Huấn luyện tổng hợp dã ngoại cuối khóa</v>
          </cell>
          <cell r="C63" t="str">
            <v>M056K6</v>
          </cell>
        </row>
        <row r="64">
          <cell r="B64" t="str">
            <v>Thực tập tốt nghiệp tuyến đơn vị</v>
          </cell>
          <cell r="C64" t="str">
            <v>M057K6</v>
          </cell>
        </row>
        <row r="65">
          <cell r="B65" t="str">
            <v>Tổ chức và chỉ huy quân y</v>
          </cell>
          <cell r="C65" t="str">
            <v>M058K6</v>
          </cell>
        </row>
        <row r="66">
          <cell r="B66" t="str">
            <v>Y tế công cộng</v>
          </cell>
          <cell r="C66" t="str">
            <v>M059K6</v>
          </cell>
        </row>
        <row r="67">
          <cell r="B67" t="str">
            <v>Độc học - Phóng xạ quân sự</v>
          </cell>
          <cell r="C67" t="str">
            <v>M060K6</v>
          </cell>
        </row>
        <row r="68">
          <cell r="B68" t="str">
            <v>Tổ chức và chỉ huy quân y - Y tế công cộng</v>
          </cell>
          <cell r="C68" t="str">
            <v>M061K6</v>
          </cell>
        </row>
        <row r="69">
          <cell r="B69" t="str">
            <v>Vệ sinh - Độc học - Phóng xạ quân sự</v>
          </cell>
          <cell r="C69" t="str">
            <v>M062K6</v>
          </cell>
        </row>
        <row r="70">
          <cell r="B70" t="str">
            <v>Sức khỏe - Môi trường</v>
          </cell>
          <cell r="C70" t="str">
            <v>M063K6</v>
          </cell>
        </row>
        <row r="71">
          <cell r="B71" t="str">
            <v>Dịch tễ học</v>
          </cell>
          <cell r="C71" t="str">
            <v>M064K6</v>
          </cell>
        </row>
        <row r="72">
          <cell r="B72" t="str">
            <v>Quản lý và tổ chức y tế - Y tế công cộng</v>
          </cell>
          <cell r="C72" t="str">
            <v>M065K6</v>
          </cell>
        </row>
        <row r="73">
          <cell r="B73" t="str">
            <v>Thực tập tốt nghiệp tuyến y tế cơ sở</v>
          </cell>
          <cell r="C73" t="str">
            <v>M066K6</v>
          </cell>
        </row>
        <row r="74">
          <cell r="B74" t="str">
            <v>Vệ sinh - Dịch tễ</v>
          </cell>
          <cell r="C74" t="str">
            <v>M067K6</v>
          </cell>
        </row>
        <row r="75">
          <cell r="B75" t="str">
            <v>Khoa Điều dưỡng</v>
          </cell>
        </row>
        <row r="76">
          <cell r="B76" t="str">
            <v>Điều dưỡng cơ bản - Kỹ thuật điều dưỡng</v>
          </cell>
          <cell r="C76" t="str">
            <v>M068K7</v>
          </cell>
        </row>
        <row r="77">
          <cell r="B77" t="str">
            <v>Kỹ năng giao tiếp</v>
          </cell>
          <cell r="C77" t="str">
            <v>M069K7</v>
          </cell>
        </row>
        <row r="78">
          <cell r="B78" t="str">
            <v>Truyền thông giáo dục sức khỏe</v>
          </cell>
          <cell r="C78" t="str">
            <v>M070K7</v>
          </cell>
        </row>
        <row r="79">
          <cell r="B79" t="str">
            <v>Điều dưỡng cơ bản</v>
          </cell>
          <cell r="C79" t="str">
            <v>M071K7</v>
          </cell>
        </row>
        <row r="80">
          <cell r="B80" t="str">
            <v>Quản lý điều dưỡng</v>
          </cell>
          <cell r="C80" t="str">
            <v>M072K7</v>
          </cell>
        </row>
        <row r="81">
          <cell r="B81" t="str">
            <v>Chăm sóc sức khỏe người lớn bệnh Nội khoa, bệnh Truyền nhiễm</v>
          </cell>
          <cell r="C81" t="str">
            <v>M073K7</v>
          </cell>
        </row>
        <row r="82">
          <cell r="B82" t="str">
            <v>Chăm sóc sức khỏe người lớn bệnh Ngoại khoa, người bệnh Chuyên khoa</v>
          </cell>
          <cell r="C82" t="str">
            <v>M074K7</v>
          </cell>
        </row>
        <row r="83">
          <cell r="B83" t="str">
            <v>Chăm sóc sức khỏe phụ nữ, bà mẹ, gia đình và trẻ em</v>
          </cell>
          <cell r="C83" t="str">
            <v>M075K7</v>
          </cell>
        </row>
        <row r="84">
          <cell r="B84" t="str">
            <v>Thực tập bệnh viện</v>
          </cell>
          <cell r="C84" t="str">
            <v>M048K7</v>
          </cell>
        </row>
        <row r="85">
          <cell r="B85" t="str">
            <v>Kiểm soát nhiễm khuẩn</v>
          </cell>
          <cell r="C85" t="str">
            <v>M076K7</v>
          </cell>
        </row>
        <row r="86">
          <cell r="B86" t="str">
            <v>Dinh dưỡng - Tiết chế - An toàn thực phẩm</v>
          </cell>
          <cell r="C86" t="str">
            <v>M077K7</v>
          </cell>
        </row>
        <row r="87">
          <cell r="B87" t="str">
            <v>Điều dưỡng cơ sở 1</v>
          </cell>
          <cell r="C87" t="str">
            <v>M078K7</v>
          </cell>
        </row>
        <row r="88">
          <cell r="B88" t="str">
            <v>Điều dưỡng cơ sở 2</v>
          </cell>
          <cell r="C88" t="str">
            <v>M079K7</v>
          </cell>
        </row>
        <row r="89">
          <cell r="B89" t="str">
            <v>Chăm sóc sức khỏe người lớn bệnh Nội khoa</v>
          </cell>
          <cell r="C89" t="str">
            <v>M080K7</v>
          </cell>
        </row>
        <row r="90">
          <cell r="B90" t="str">
            <v>Chăm sóc sức khỏe trẻ em - Chăm sóc sức khoẻ phụ nữ, bà mẹ và gia đình</v>
          </cell>
          <cell r="C90" t="str">
            <v>M081K7</v>
          </cell>
        </row>
        <row r="91">
          <cell r="B91" t="str">
            <v>Chăm sóc người bệnh cấp cứu, chăm sóc tích cực và chăm sóc người bệnh cao tuổi</v>
          </cell>
          <cell r="C91" t="str">
            <v>M082K7</v>
          </cell>
        </row>
        <row r="92">
          <cell r="B92" t="str">
            <v>Chăm sóc người bệnh truyền nhiễm</v>
          </cell>
          <cell r="C92" t="str">
            <v>M083K7</v>
          </cell>
        </row>
        <row r="93">
          <cell r="B93" t="str">
            <v>Thực tập bệnh viện 1</v>
          </cell>
          <cell r="C93" t="str">
            <v>M084K7</v>
          </cell>
        </row>
        <row r="94">
          <cell r="B94" t="str">
            <v>Thực tập bệnh viện 2</v>
          </cell>
          <cell r="C94" t="str">
            <v>M085K7</v>
          </cell>
        </row>
        <row r="95">
          <cell r="B95" t="str">
            <v>Thực tập tốt nghiệp tuyến bệnh viện</v>
          </cell>
          <cell r="C95" t="str">
            <v>M047K7</v>
          </cell>
        </row>
        <row r="96">
          <cell r="B96" t="str">
            <v>Chăm sóc sức khỏe người lớn bệnh ngoại khoa</v>
          </cell>
          <cell r="C96" t="str">
            <v>M086K7</v>
          </cell>
        </row>
        <row r="97">
          <cell r="B97" t="str">
            <v>Chăm sóc sức khỏe người bệnh chuyên khoa</v>
          </cell>
          <cell r="C97" t="str">
            <v>M087K7</v>
          </cell>
        </row>
        <row r="98">
          <cell r="B98" t="str">
            <v>Chăm sóc người bệnh cấp cứu, chăm sóc tích cực</v>
          </cell>
          <cell r="C98" t="str">
            <v>M088K7</v>
          </cell>
        </row>
        <row r="99">
          <cell r="B99" t="str">
            <v>Chăm sóc sức khỏe người bệnh cao tuổi</v>
          </cell>
          <cell r="C99" t="str">
            <v>M089K7</v>
          </cell>
        </row>
        <row r="100">
          <cell r="B100" t="str">
            <v>Chăm sóc sức khoẻ phụ nữ, bà mẹ và gia đình</v>
          </cell>
          <cell r="C100" t="str">
            <v>M090K7</v>
          </cell>
        </row>
        <row r="101">
          <cell r="B101" t="str">
            <v>Chăm sóc sức khoẻ trẻ em</v>
          </cell>
          <cell r="C101" t="str">
            <v>M091K7</v>
          </cell>
        </row>
        <row r="102">
          <cell r="B102" t="str">
            <v>Chăm sóc sức khỏe cộng đồng</v>
          </cell>
          <cell r="C102" t="str">
            <v>M092K7</v>
          </cell>
        </row>
        <row r="103">
          <cell r="B103" t="str">
            <v>Thực tập tốt nghiệp</v>
          </cell>
          <cell r="C103" t="str">
            <v>M093K7</v>
          </cell>
        </row>
        <row r="104">
          <cell r="B104" t="str">
            <v>Thực tập Điều dưỡng cộng đồng (Trạm y tế)</v>
          </cell>
          <cell r="C104" t="str">
            <v>M094K7</v>
          </cell>
        </row>
        <row r="105">
          <cell r="B105" t="str">
            <v>Khoa Dược</v>
          </cell>
        </row>
        <row r="106">
          <cell r="B106" t="str">
            <v>Dược lý</v>
          </cell>
          <cell r="C106" t="str">
            <v>M095K8</v>
          </cell>
        </row>
        <row r="107">
          <cell r="B107" t="str">
            <v>Hóa học</v>
          </cell>
          <cell r="C107" t="str">
            <v>M096K8</v>
          </cell>
        </row>
        <row r="108">
          <cell r="B108" t="str">
            <v>Dược học</v>
          </cell>
          <cell r="C108" t="str">
            <v>M097K8</v>
          </cell>
        </row>
        <row r="109">
          <cell r="B109" t="str">
            <v>Hóa đại cương - Hóa vô cơ</v>
          </cell>
          <cell r="C109" t="str">
            <v>M098K8</v>
          </cell>
        </row>
        <row r="110">
          <cell r="B110" t="str">
            <v>Hóa hữu cơ</v>
          </cell>
          <cell r="C110" t="str">
            <v>M099K8</v>
          </cell>
        </row>
        <row r="111">
          <cell r="B111" t="str">
            <v>Hóa phân tích</v>
          </cell>
          <cell r="C111" t="str">
            <v>M100K8</v>
          </cell>
        </row>
        <row r="112">
          <cell r="B112" t="str">
            <v>Thực vật dược</v>
          </cell>
          <cell r="C112" t="str">
            <v>M101K8</v>
          </cell>
        </row>
        <row r="113">
          <cell r="B113" t="str">
            <v>Hóa dược</v>
          </cell>
          <cell r="C113" t="str">
            <v>M102K8</v>
          </cell>
        </row>
        <row r="114">
          <cell r="B114" t="str">
            <v>Dược liệu</v>
          </cell>
          <cell r="C114" t="str">
            <v>M103K8</v>
          </cell>
        </row>
        <row r="115">
          <cell r="B115" t="str">
            <v>Dược học cổ truyền</v>
          </cell>
          <cell r="C115" t="str">
            <v>M104K8</v>
          </cell>
        </row>
        <row r="116">
          <cell r="B116" t="str">
            <v>Bào chế</v>
          </cell>
          <cell r="C116" t="str">
            <v>M105K8</v>
          </cell>
        </row>
        <row r="117">
          <cell r="B117" t="str">
            <v>Kỹ thuật sản xuất dược phẩm</v>
          </cell>
          <cell r="C117" t="str">
            <v>M106K8</v>
          </cell>
        </row>
        <row r="118">
          <cell r="B118" t="str">
            <v>Kiểm nghiệm</v>
          </cell>
          <cell r="C118" t="str">
            <v>M107K8</v>
          </cell>
        </row>
        <row r="119">
          <cell r="B119" t="str">
            <v>Dược lâm sàng</v>
          </cell>
          <cell r="C119" t="str">
            <v>M108K8</v>
          </cell>
        </row>
        <row r="120">
          <cell r="B120" t="str">
            <v>Thực tập giai đoạn 1 (thực tập bệnh viện)</v>
          </cell>
          <cell r="C120" t="str">
            <v>M109K8</v>
          </cell>
        </row>
        <row r="121">
          <cell r="B121" t="str">
            <v>Pháp chế dược</v>
          </cell>
          <cell r="C121" t="str">
            <v>M110K8</v>
          </cell>
        </row>
        <row r="122">
          <cell r="B122" t="str">
            <v>Đảm bảo chất lượng thuốc</v>
          </cell>
          <cell r="C122" t="str">
            <v>M111K8</v>
          </cell>
        </row>
        <row r="123">
          <cell r="B123" t="str">
            <v>Tổ chức quản lý và kinh tế dược</v>
          </cell>
          <cell r="C123" t="str">
            <v>M112K8</v>
          </cell>
        </row>
        <row r="124">
          <cell r="B124" t="str">
            <v>Thực tập giai đoạn 2 (thực tập bệnh viện)</v>
          </cell>
          <cell r="C124" t="str">
            <v>M113K8</v>
          </cell>
        </row>
        <row r="125">
          <cell r="B125" t="str">
            <v>Thực tập Nhà thuốc</v>
          </cell>
          <cell r="C125" t="str">
            <v>M114K8</v>
          </cell>
        </row>
        <row r="126">
          <cell r="B126" t="str">
            <v>Bảo quản thuốc</v>
          </cell>
          <cell r="C126" t="str">
            <v>M115K8</v>
          </cell>
        </row>
        <row r="127">
          <cell r="B127" t="str">
            <v>Bào chế đông dược </v>
          </cell>
          <cell r="C127" t="str">
            <v>M116K8</v>
          </cell>
        </row>
        <row r="128">
          <cell r="B128" t="str">
            <v>Marketing dược</v>
          </cell>
          <cell r="C128" t="str">
            <v>M117K8</v>
          </cell>
        </row>
        <row r="129">
          <cell r="B129" t="str">
            <v>Thực tập tốt nghiệp</v>
          </cell>
          <cell r="C129" t="str">
            <v>M093K8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76"/>
  <sheetViews>
    <sheetView tabSelected="1" topLeftCell="A186" workbookViewId="0">
      <selection activeCell="J89" sqref="J89"/>
    </sheetView>
  </sheetViews>
  <sheetFormatPr defaultColWidth="9.1047619047619" defaultRowHeight="37.65" customHeight="1"/>
  <cols>
    <col min="1" max="1" width="12.1047619047619" style="1" customWidth="1"/>
    <col min="2" max="2" width="40.8857142857143" style="1" customWidth="1"/>
    <col min="3" max="3" width="10.1047619047619" style="1" customWidth="1"/>
    <col min="4" max="4" width="9.88571428571429" style="1" customWidth="1"/>
    <col min="5" max="5" width="14.8857142857143" style="1" customWidth="1"/>
    <col min="6" max="6" width="15.552380952381" style="1" customWidth="1"/>
    <col min="7" max="7" width="10.552380952381" style="1" customWidth="1"/>
    <col min="8" max="8" width="7.43809523809524" style="1" customWidth="1"/>
    <col min="9" max="9" width="9.43809523809524" style="1" customWidth="1"/>
    <col min="10" max="16384" width="9.1047619047619" style="1"/>
  </cols>
  <sheetData>
    <row r="1" s="1" customFormat="1" ht="18.75" spans="1:9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18.75" spans="1:9">
      <c r="A2" s="4" t="s">
        <v>1</v>
      </c>
      <c r="B2" s="4"/>
      <c r="C2" s="4"/>
      <c r="D2" s="4"/>
      <c r="E2" s="4"/>
      <c r="F2" s="4"/>
      <c r="G2" s="4"/>
      <c r="H2" s="4"/>
    </row>
    <row r="3" s="1" customFormat="1" ht="18.75" spans="1:9">
      <c r="A3" s="5" t="s">
        <v>2</v>
      </c>
      <c r="B3" s="5" t="s">
        <v>3</v>
      </c>
      <c r="C3" s="5" t="s">
        <v>4</v>
      </c>
      <c r="D3" s="5" t="s">
        <v>5</v>
      </c>
      <c r="E3" s="5"/>
      <c r="F3" s="5"/>
      <c r="G3" s="5"/>
      <c r="H3" s="6" t="s">
        <v>6</v>
      </c>
    </row>
    <row r="4" s="1" customFormat="1" ht="18.75" spans="1:9">
      <c r="A4" s="5"/>
      <c r="B4" s="5"/>
      <c r="C4" s="5"/>
      <c r="D4" s="5" t="s">
        <v>7</v>
      </c>
      <c r="E4" s="5" t="s">
        <v>8</v>
      </c>
      <c r="F4" s="5"/>
      <c r="G4" s="5"/>
      <c r="H4" s="7"/>
    </row>
    <row r="5" s="1" customFormat="1" ht="75" spans="1:9">
      <c r="A5" s="5"/>
      <c r="B5" s="5"/>
      <c r="C5" s="5"/>
      <c r="D5" s="5"/>
      <c r="E5" s="5" t="s">
        <v>9</v>
      </c>
      <c r="F5" s="5" t="s">
        <v>10</v>
      </c>
      <c r="G5" s="5" t="s">
        <v>11</v>
      </c>
      <c r="H5" s="7"/>
    </row>
    <row r="6" s="1" customFormat="1" ht="18.75" spans="1:9">
      <c r="A6" s="8" t="s">
        <v>12</v>
      </c>
      <c r="B6" s="9" t="s">
        <v>13</v>
      </c>
      <c r="C6" s="10">
        <f t="shared" ref="C6:H6" si="0">SUM(C7:C14)</f>
        <v>21</v>
      </c>
      <c r="D6" s="10">
        <f t="shared" si="0"/>
        <v>502</v>
      </c>
      <c r="E6" s="10">
        <f t="shared" si="0"/>
        <v>178</v>
      </c>
      <c r="F6" s="10">
        <f t="shared" si="0"/>
        <v>298</v>
      </c>
      <c r="G6" s="10">
        <f t="shared" si="0"/>
        <v>26</v>
      </c>
      <c r="H6" s="10">
        <f t="shared" si="0"/>
        <v>84</v>
      </c>
      <c r="I6" s="11" t="str">
        <f t="shared" ref="I6:I50" si="1">A6</f>
        <v>I</v>
      </c>
    </row>
    <row r="7" s="2" customFormat="1" ht="18.75" spans="1:9">
      <c r="A7" s="12" t="str">
        <f>VLOOKUP(B7,'[1]Tổng hợp mã môn học'!B$1:C$129,2,)</f>
        <v>M019K2</v>
      </c>
      <c r="B7" s="13" t="s">
        <v>14</v>
      </c>
      <c r="C7" s="12">
        <v>5</v>
      </c>
      <c r="D7" s="14">
        <f t="shared" ref="D7:D14" si="2">SUM(E7,F7,G7)</f>
        <v>75</v>
      </c>
      <c r="E7" s="12">
        <v>41</v>
      </c>
      <c r="F7" s="12">
        <v>29</v>
      </c>
      <c r="G7" s="12">
        <v>5</v>
      </c>
      <c r="H7" s="15">
        <f t="shared" ref="H7:H14" si="3">C7*4</f>
        <v>20</v>
      </c>
      <c r="I7" s="11" t="str">
        <f t="shared" si="1"/>
        <v>M019K2</v>
      </c>
    </row>
    <row r="8" s="1" customFormat="1" ht="18.75" spans="1:9">
      <c r="A8" s="12" t="str">
        <f>VLOOKUP(B8,'[1]Tổng hợp mã môn học'!B$1:C$129,2,)</f>
        <v>M020K2</v>
      </c>
      <c r="B8" s="13" t="s">
        <v>15</v>
      </c>
      <c r="C8" s="12">
        <v>2</v>
      </c>
      <c r="D8" s="14">
        <f t="shared" si="2"/>
        <v>30</v>
      </c>
      <c r="E8" s="12">
        <v>18</v>
      </c>
      <c r="F8" s="12">
        <v>10</v>
      </c>
      <c r="G8" s="12">
        <v>2</v>
      </c>
      <c r="H8" s="15">
        <f t="shared" si="3"/>
        <v>8</v>
      </c>
      <c r="I8" s="11" t="str">
        <f t="shared" si="1"/>
        <v>M020K2</v>
      </c>
    </row>
    <row r="9" s="2" customFormat="1" ht="18.75" spans="1:9">
      <c r="A9" s="12" t="str">
        <f>VLOOKUP(B9,'[1]Tổng hợp mã môn học'!B$1:C$129,2,)</f>
        <v>M001K1</v>
      </c>
      <c r="B9" s="13" t="s">
        <v>16</v>
      </c>
      <c r="C9" s="12">
        <v>2</v>
      </c>
      <c r="D9" s="14">
        <f t="shared" si="2"/>
        <v>60</v>
      </c>
      <c r="E9" s="12">
        <v>2</v>
      </c>
      <c r="F9" s="12">
        <v>54</v>
      </c>
      <c r="G9" s="12">
        <v>4</v>
      </c>
      <c r="H9" s="15">
        <f t="shared" si="3"/>
        <v>8</v>
      </c>
      <c r="I9" s="11" t="str">
        <f t="shared" si="1"/>
        <v>M001K1</v>
      </c>
    </row>
    <row r="10" s="2" customFormat="1" ht="18.75" spans="1:9">
      <c r="A10" s="12" t="str">
        <f>VLOOKUP(B10,'[1]Tổng hợp mã môn học'!B$1:C$129,2,)</f>
        <v>M008K1</v>
      </c>
      <c r="B10" s="13" t="s">
        <v>17</v>
      </c>
      <c r="C10" s="12">
        <v>3</v>
      </c>
      <c r="D10" s="14">
        <f t="shared" si="2"/>
        <v>75</v>
      </c>
      <c r="E10" s="12">
        <v>34</v>
      </c>
      <c r="F10" s="12">
        <v>37</v>
      </c>
      <c r="G10" s="12">
        <v>4</v>
      </c>
      <c r="H10" s="15">
        <f t="shared" si="3"/>
        <v>12</v>
      </c>
      <c r="I10" s="11" t="str">
        <f t="shared" si="1"/>
        <v>M008K1</v>
      </c>
    </row>
    <row r="11" s="1" customFormat="1" ht="18.75" spans="1:9">
      <c r="A11" s="12" t="str">
        <f>VLOOKUP(B11,'[1]Tổng hợp mã môn học'!B$1:C$129,2,)</f>
        <v>M023K3</v>
      </c>
      <c r="B11" s="16" t="s">
        <v>18</v>
      </c>
      <c r="C11" s="12">
        <v>4</v>
      </c>
      <c r="D11" s="14">
        <f t="shared" si="2"/>
        <v>120</v>
      </c>
      <c r="E11" s="12">
        <v>42</v>
      </c>
      <c r="F11" s="12">
        <v>72</v>
      </c>
      <c r="G11" s="12">
        <v>6</v>
      </c>
      <c r="H11" s="15">
        <f t="shared" si="3"/>
        <v>16</v>
      </c>
      <c r="I11" s="11" t="str">
        <f t="shared" si="1"/>
        <v>M023K3</v>
      </c>
    </row>
    <row r="12" s="1" customFormat="1" ht="18.75" spans="1:9">
      <c r="A12" s="12" t="str">
        <f>VLOOKUP(B12,'[1]Tổng hợp mã môn học'!B$1:C$129,2,)</f>
        <v>M022K3</v>
      </c>
      <c r="B12" s="13" t="s">
        <v>19</v>
      </c>
      <c r="C12" s="12">
        <v>3</v>
      </c>
      <c r="D12" s="14">
        <f t="shared" si="2"/>
        <v>88</v>
      </c>
      <c r="E12" s="12">
        <v>21</v>
      </c>
      <c r="F12" s="12">
        <v>64</v>
      </c>
      <c r="G12" s="12">
        <v>3</v>
      </c>
      <c r="H12" s="15">
        <f t="shared" si="3"/>
        <v>12</v>
      </c>
      <c r="I12" s="11" t="str">
        <f t="shared" si="1"/>
        <v>M022K3</v>
      </c>
    </row>
    <row r="13" s="1" customFormat="1" ht="18.75" spans="1:9">
      <c r="A13" s="12" t="str">
        <f>VLOOKUP(B13,'[1]Tổng hợp mã môn học'!B$1:C$129,2,)</f>
        <v>M024K3</v>
      </c>
      <c r="B13" s="13" t="s">
        <v>20</v>
      </c>
      <c r="C13" s="12">
        <v>1</v>
      </c>
      <c r="D13" s="14">
        <f t="shared" si="2"/>
        <v>27</v>
      </c>
      <c r="E13" s="12">
        <v>10</v>
      </c>
      <c r="F13" s="12">
        <v>16</v>
      </c>
      <c r="G13" s="12">
        <v>1</v>
      </c>
      <c r="H13" s="15">
        <f t="shared" si="3"/>
        <v>4</v>
      </c>
      <c r="I13" s="11" t="str">
        <f t="shared" si="1"/>
        <v>M024K3</v>
      </c>
    </row>
    <row r="14" s="1" customFormat="1" ht="18.75" spans="1:9">
      <c r="A14" s="12" t="str">
        <f>VLOOKUP(B14,'[1]Tổng hợp mã môn học'!B$1:C$129,2,)</f>
        <v>M025K3</v>
      </c>
      <c r="B14" s="13" t="s">
        <v>21</v>
      </c>
      <c r="C14" s="12">
        <v>1</v>
      </c>
      <c r="D14" s="14">
        <f t="shared" si="2"/>
        <v>27</v>
      </c>
      <c r="E14" s="12">
        <v>10</v>
      </c>
      <c r="F14" s="12">
        <v>16</v>
      </c>
      <c r="G14" s="12">
        <v>1</v>
      </c>
      <c r="H14" s="15">
        <f t="shared" si="3"/>
        <v>4</v>
      </c>
      <c r="I14" s="11" t="str">
        <f t="shared" si="1"/>
        <v>M025K3</v>
      </c>
    </row>
    <row r="15" s="1" customFormat="1" ht="18.75" spans="1:9">
      <c r="A15" s="10" t="s">
        <v>22</v>
      </c>
      <c r="B15" s="9" t="s">
        <v>23</v>
      </c>
      <c r="C15" s="10">
        <f t="shared" ref="C15:H15" si="4">SUM(C16,C28)</f>
        <v>84</v>
      </c>
      <c r="D15" s="10">
        <f t="shared" si="4"/>
        <v>2308</v>
      </c>
      <c r="E15" s="10">
        <f t="shared" si="4"/>
        <v>872</v>
      </c>
      <c r="F15" s="10">
        <f t="shared" si="4"/>
        <v>1323</v>
      </c>
      <c r="G15" s="10">
        <f t="shared" si="4"/>
        <v>113</v>
      </c>
      <c r="H15" s="10">
        <f t="shared" si="4"/>
        <v>358</v>
      </c>
      <c r="I15" s="11" t="str">
        <f t="shared" si="1"/>
        <v>II</v>
      </c>
    </row>
    <row r="16" s="1" customFormat="1" ht="18.75" spans="1:9">
      <c r="A16" s="10">
        <v>1</v>
      </c>
      <c r="B16" s="9" t="s">
        <v>24</v>
      </c>
      <c r="C16" s="17">
        <f t="shared" ref="C16:H16" si="5">SUM(C17:C27)</f>
        <v>27</v>
      </c>
      <c r="D16" s="17">
        <f t="shared" si="5"/>
        <v>632</v>
      </c>
      <c r="E16" s="17">
        <f t="shared" si="5"/>
        <v>371</v>
      </c>
      <c r="F16" s="17">
        <f t="shared" si="5"/>
        <v>222</v>
      </c>
      <c r="G16" s="17">
        <f t="shared" si="5"/>
        <v>39</v>
      </c>
      <c r="H16" s="17">
        <f t="shared" si="5"/>
        <v>108</v>
      </c>
      <c r="I16" s="11">
        <f t="shared" si="1"/>
        <v>1</v>
      </c>
    </row>
    <row r="17" s="1" customFormat="1" ht="18.75" spans="1:9">
      <c r="A17" s="12" t="str">
        <f>VLOOKUP(B17,'[1]Tổng hợp mã môn học'!B$1:C$129,2,)</f>
        <v>M098K8</v>
      </c>
      <c r="B17" s="16" t="s">
        <v>25</v>
      </c>
      <c r="C17" s="18">
        <v>2</v>
      </c>
      <c r="D17" s="14">
        <f>E17+F17+G17</f>
        <v>60</v>
      </c>
      <c r="E17" s="14">
        <v>28</v>
      </c>
      <c r="F17" s="14">
        <v>30</v>
      </c>
      <c r="G17" s="14">
        <v>2</v>
      </c>
      <c r="H17" s="15">
        <f t="shared" ref="H17:H27" si="6">C17*4</f>
        <v>8</v>
      </c>
      <c r="I17" s="11" t="str">
        <f t="shared" si="1"/>
        <v>M098K8</v>
      </c>
    </row>
    <row r="18" s="1" customFormat="1" ht="18.75" spans="1:9">
      <c r="A18" s="12" t="str">
        <f>VLOOKUP(B18,'[1]Tổng hợp mã môn học'!B$1:C$129,2,)</f>
        <v>M099K8</v>
      </c>
      <c r="B18" s="16" t="s">
        <v>26</v>
      </c>
      <c r="C18" s="18">
        <v>2</v>
      </c>
      <c r="D18" s="14">
        <f>E18+F18+G18</f>
        <v>60</v>
      </c>
      <c r="E18" s="14">
        <v>28</v>
      </c>
      <c r="F18" s="14">
        <v>30</v>
      </c>
      <c r="G18" s="14">
        <v>2</v>
      </c>
      <c r="H18" s="15">
        <f t="shared" si="6"/>
        <v>8</v>
      </c>
      <c r="I18" s="11" t="str">
        <f t="shared" si="1"/>
        <v>M099K8</v>
      </c>
    </row>
    <row r="19" s="1" customFormat="1" ht="18.75" spans="1:9">
      <c r="A19" s="12" t="str">
        <f>VLOOKUP(B19,'[1]Tổng hợp mã môn học'!B$1:C$129,2,)</f>
        <v>M031K4</v>
      </c>
      <c r="B19" s="16" t="s">
        <v>27</v>
      </c>
      <c r="C19" s="14">
        <v>2</v>
      </c>
      <c r="D19" s="14">
        <f t="shared" ref="D19:D25" si="7">SUM(E19:G19)</f>
        <v>33</v>
      </c>
      <c r="E19" s="14">
        <v>30</v>
      </c>
      <c r="F19" s="14">
        <v>0</v>
      </c>
      <c r="G19" s="14">
        <v>3</v>
      </c>
      <c r="H19" s="15">
        <f t="shared" si="6"/>
        <v>8</v>
      </c>
      <c r="I19" s="11" t="str">
        <f t="shared" si="1"/>
        <v>M031K4</v>
      </c>
    </row>
    <row r="20" s="2" customFormat="1" ht="18.75" spans="1:9">
      <c r="A20" s="12" t="str">
        <f>VLOOKUP(B20,'[1]Tổng hợp mã môn học'!B$1:C$129,2,)</f>
        <v>M035K4</v>
      </c>
      <c r="B20" s="16" t="s">
        <v>28</v>
      </c>
      <c r="C20" s="12">
        <v>4</v>
      </c>
      <c r="D20" s="14">
        <f t="shared" si="7"/>
        <v>102</v>
      </c>
      <c r="E20" s="12">
        <v>50</v>
      </c>
      <c r="F20" s="12">
        <v>42</v>
      </c>
      <c r="G20" s="12">
        <v>10</v>
      </c>
      <c r="H20" s="15">
        <f t="shared" si="6"/>
        <v>16</v>
      </c>
      <c r="I20" s="11" t="str">
        <f t="shared" si="1"/>
        <v>M035K4</v>
      </c>
    </row>
    <row r="21" s="2" customFormat="1" ht="18.75" spans="1:9">
      <c r="A21" s="12" t="str">
        <f>VLOOKUP(B21,'[1]Tổng hợp mã môn học'!B$1:C$129,2,)</f>
        <v>M029K4</v>
      </c>
      <c r="B21" s="13" t="s">
        <v>29</v>
      </c>
      <c r="C21" s="12">
        <v>2</v>
      </c>
      <c r="D21" s="14">
        <f t="shared" si="7"/>
        <v>48</v>
      </c>
      <c r="E21" s="12">
        <v>30</v>
      </c>
      <c r="F21" s="12">
        <v>15</v>
      </c>
      <c r="G21" s="12">
        <v>3</v>
      </c>
      <c r="H21" s="15">
        <f t="shared" si="6"/>
        <v>8</v>
      </c>
      <c r="I21" s="11" t="str">
        <f t="shared" si="1"/>
        <v>M029K4</v>
      </c>
    </row>
    <row r="22" s="2" customFormat="1" ht="18.75" spans="1:9">
      <c r="A22" s="12" t="str">
        <f>VLOOKUP(B22,'[1]Tổng hợp mã môn học'!B$1:C$129,2,)</f>
        <v>M033K4</v>
      </c>
      <c r="B22" s="16" t="s">
        <v>30</v>
      </c>
      <c r="C22" s="12">
        <v>2</v>
      </c>
      <c r="D22" s="14">
        <f t="shared" si="7"/>
        <v>33</v>
      </c>
      <c r="E22" s="12">
        <v>30</v>
      </c>
      <c r="F22" s="12">
        <v>0</v>
      </c>
      <c r="G22" s="12">
        <v>3</v>
      </c>
      <c r="H22" s="15">
        <f t="shared" si="6"/>
        <v>8</v>
      </c>
      <c r="I22" s="11" t="str">
        <f t="shared" si="1"/>
        <v>M033K4</v>
      </c>
    </row>
    <row r="23" s="2" customFormat="1" ht="18.75" spans="1:9">
      <c r="A23" s="12" t="str">
        <f>VLOOKUP(B23,'[1]Tổng hợp mã môn học'!B$1:C$129,2,)</f>
        <v>M067K6</v>
      </c>
      <c r="B23" s="16" t="s">
        <v>31</v>
      </c>
      <c r="C23" s="14">
        <v>2</v>
      </c>
      <c r="D23" s="14">
        <f t="shared" si="7"/>
        <v>36</v>
      </c>
      <c r="E23" s="14">
        <v>32</v>
      </c>
      <c r="F23" s="14">
        <v>0</v>
      </c>
      <c r="G23" s="14">
        <v>4</v>
      </c>
      <c r="H23" s="15">
        <f t="shared" si="6"/>
        <v>8</v>
      </c>
      <c r="I23" s="11" t="str">
        <f t="shared" si="1"/>
        <v>M067K6</v>
      </c>
    </row>
    <row r="24" s="1" customFormat="1" ht="18.75" spans="1:9">
      <c r="A24" s="12" t="str">
        <f>VLOOKUP(B24,'[1]Tổng hợp mã môn học'!B$1:C$129,2,)</f>
        <v>M055K6</v>
      </c>
      <c r="B24" s="13" t="s">
        <v>32</v>
      </c>
      <c r="C24" s="12">
        <v>2</v>
      </c>
      <c r="D24" s="14">
        <f t="shared" si="7"/>
        <v>50</v>
      </c>
      <c r="E24" s="12">
        <v>16</v>
      </c>
      <c r="F24" s="12">
        <v>30</v>
      </c>
      <c r="G24" s="12">
        <v>4</v>
      </c>
      <c r="H24" s="15">
        <f t="shared" si="6"/>
        <v>8</v>
      </c>
      <c r="I24" s="11" t="str">
        <f t="shared" si="1"/>
        <v>M055K6</v>
      </c>
    </row>
    <row r="25" s="1" customFormat="1" ht="18.75" spans="1:9">
      <c r="A25" s="12" t="str">
        <f>VLOOKUP(B25,'[1]Tổng hợp mã môn học'!B$1:C$129,2,)</f>
        <v>M050K5</v>
      </c>
      <c r="B25" s="16" t="s">
        <v>33</v>
      </c>
      <c r="C25" s="14">
        <v>3</v>
      </c>
      <c r="D25" s="14">
        <f t="shared" si="7"/>
        <v>45</v>
      </c>
      <c r="E25" s="14">
        <v>43</v>
      </c>
      <c r="F25" s="14">
        <v>0</v>
      </c>
      <c r="G25" s="14">
        <v>2</v>
      </c>
      <c r="H25" s="15">
        <f t="shared" si="6"/>
        <v>12</v>
      </c>
      <c r="I25" s="11" t="str">
        <f t="shared" si="1"/>
        <v>M050K5</v>
      </c>
    </row>
    <row r="26" s="2" customFormat="1" ht="18.75" spans="1:9">
      <c r="A26" s="12" t="str">
        <f>VLOOKUP(B26,'[1]Tổng hợp mã môn học'!B$1:C$129,2,)</f>
        <v>M100K8</v>
      </c>
      <c r="B26" s="16" t="s">
        <v>34</v>
      </c>
      <c r="C26" s="18">
        <v>3</v>
      </c>
      <c r="D26" s="14">
        <f t="shared" ref="D26:D48" si="8">E26+F26+G26</f>
        <v>75</v>
      </c>
      <c r="E26" s="14">
        <v>42</v>
      </c>
      <c r="F26" s="14">
        <v>30</v>
      </c>
      <c r="G26" s="14">
        <v>3</v>
      </c>
      <c r="H26" s="15">
        <f t="shared" si="6"/>
        <v>12</v>
      </c>
      <c r="I26" s="11" t="str">
        <f t="shared" si="1"/>
        <v>M100K8</v>
      </c>
    </row>
    <row r="27" s="2" customFormat="1" ht="18.75" spans="1:9">
      <c r="A27" s="12" t="str">
        <f>VLOOKUP(B27,'[1]Tổng hợp mã môn học'!B$1:C$129,2,)</f>
        <v>M101K8</v>
      </c>
      <c r="B27" s="16" t="s">
        <v>35</v>
      </c>
      <c r="C27" s="18">
        <v>3</v>
      </c>
      <c r="D27" s="14">
        <f t="shared" si="8"/>
        <v>90</v>
      </c>
      <c r="E27" s="14">
        <v>42</v>
      </c>
      <c r="F27" s="14">
        <v>45</v>
      </c>
      <c r="G27" s="14">
        <v>3</v>
      </c>
      <c r="H27" s="15">
        <f t="shared" si="6"/>
        <v>12</v>
      </c>
      <c r="I27" s="11" t="str">
        <f t="shared" si="1"/>
        <v>M101K8</v>
      </c>
    </row>
    <row r="28" s="1" customFormat="1" ht="18.75" spans="1:9">
      <c r="A28" s="8">
        <v>2</v>
      </c>
      <c r="B28" s="9" t="s">
        <v>36</v>
      </c>
      <c r="C28" s="17">
        <f t="shared" ref="C28:G28" si="9">SUM(C29:C48)</f>
        <v>57</v>
      </c>
      <c r="D28" s="17">
        <f t="shared" si="9"/>
        <v>1676</v>
      </c>
      <c r="E28" s="17">
        <f t="shared" si="9"/>
        <v>501</v>
      </c>
      <c r="F28" s="17">
        <f t="shared" si="9"/>
        <v>1101</v>
      </c>
      <c r="G28" s="17">
        <f t="shared" si="9"/>
        <v>74</v>
      </c>
      <c r="H28" s="17">
        <f>SUM(H29:H49)</f>
        <v>250</v>
      </c>
      <c r="I28" s="11">
        <f t="shared" si="1"/>
        <v>2</v>
      </c>
    </row>
    <row r="29" s="2" customFormat="1" ht="18.75" spans="1:9">
      <c r="A29" s="12" t="str">
        <f>VLOOKUP(B29,'[1]Tổng hợp mã môn học'!B$1:C$129,2,)</f>
        <v>M102K8</v>
      </c>
      <c r="B29" s="16" t="s">
        <v>37</v>
      </c>
      <c r="C29" s="18">
        <v>3</v>
      </c>
      <c r="D29" s="14">
        <f t="shared" si="8"/>
        <v>75</v>
      </c>
      <c r="E29" s="14">
        <v>42</v>
      </c>
      <c r="F29" s="14">
        <v>30</v>
      </c>
      <c r="G29" s="14">
        <v>3</v>
      </c>
      <c r="H29" s="15">
        <f t="shared" ref="H29:H37" si="10">C29*4</f>
        <v>12</v>
      </c>
      <c r="I29" s="11" t="str">
        <f t="shared" si="1"/>
        <v>M102K8</v>
      </c>
    </row>
    <row r="30" s="2" customFormat="1" ht="18.75" spans="1:9">
      <c r="A30" s="12" t="str">
        <f>VLOOKUP(B30,'[1]Tổng hợp mã môn học'!B$1:C$129,2,)</f>
        <v>M095K8</v>
      </c>
      <c r="B30" s="16" t="s">
        <v>38</v>
      </c>
      <c r="C30" s="18">
        <v>5</v>
      </c>
      <c r="D30" s="14">
        <f t="shared" si="8"/>
        <v>120</v>
      </c>
      <c r="E30" s="14">
        <v>70</v>
      </c>
      <c r="F30" s="14">
        <v>45</v>
      </c>
      <c r="G30" s="14">
        <v>5</v>
      </c>
      <c r="H30" s="15">
        <f t="shared" si="10"/>
        <v>20</v>
      </c>
      <c r="I30" s="11" t="str">
        <f t="shared" si="1"/>
        <v>M095K8</v>
      </c>
    </row>
    <row r="31" s="2" customFormat="1" ht="18.75" spans="1:9">
      <c r="A31" s="12" t="str">
        <f>VLOOKUP(B31,'[1]Tổng hợp mã môn học'!B$1:C$129,2,)</f>
        <v>M103K8</v>
      </c>
      <c r="B31" s="16" t="s">
        <v>39</v>
      </c>
      <c r="C31" s="18">
        <v>4</v>
      </c>
      <c r="D31" s="14">
        <f t="shared" si="8"/>
        <v>99</v>
      </c>
      <c r="E31" s="14">
        <v>50</v>
      </c>
      <c r="F31" s="14">
        <v>45</v>
      </c>
      <c r="G31" s="14">
        <v>4</v>
      </c>
      <c r="H31" s="15">
        <f t="shared" si="10"/>
        <v>16</v>
      </c>
      <c r="I31" s="11" t="str">
        <f t="shared" si="1"/>
        <v>M103K8</v>
      </c>
    </row>
    <row r="32" s="2" customFormat="1" ht="18.75" spans="1:9">
      <c r="A32" s="12" t="str">
        <f>VLOOKUP(B32,'[1]Tổng hợp mã môn học'!B$1:C$129,2,)</f>
        <v>M104K8</v>
      </c>
      <c r="B32" s="16" t="s">
        <v>40</v>
      </c>
      <c r="C32" s="18">
        <v>2</v>
      </c>
      <c r="D32" s="14">
        <f t="shared" si="8"/>
        <v>67</v>
      </c>
      <c r="E32" s="14">
        <v>20</v>
      </c>
      <c r="F32" s="14">
        <v>45</v>
      </c>
      <c r="G32" s="14">
        <v>2</v>
      </c>
      <c r="H32" s="15">
        <f t="shared" si="10"/>
        <v>8</v>
      </c>
      <c r="I32" s="11" t="str">
        <f t="shared" si="1"/>
        <v>M104K8</v>
      </c>
    </row>
    <row r="33" s="2" customFormat="1" ht="18.75" spans="1:9">
      <c r="A33" s="12" t="str">
        <f>VLOOKUP(B33,'[1]Tổng hợp mã môn học'!B$1:C$129,2,)</f>
        <v>M105K8</v>
      </c>
      <c r="B33" s="16" t="s">
        <v>41</v>
      </c>
      <c r="C33" s="18">
        <v>4</v>
      </c>
      <c r="D33" s="14">
        <f t="shared" si="8"/>
        <v>104</v>
      </c>
      <c r="E33" s="14">
        <v>40</v>
      </c>
      <c r="F33" s="14">
        <v>60</v>
      </c>
      <c r="G33" s="14">
        <v>4</v>
      </c>
      <c r="H33" s="15">
        <f t="shared" si="10"/>
        <v>16</v>
      </c>
      <c r="I33" s="11" t="str">
        <f t="shared" si="1"/>
        <v>M105K8</v>
      </c>
    </row>
    <row r="34" s="2" customFormat="1" ht="18.75" spans="1:9">
      <c r="A34" s="12" t="str">
        <f>VLOOKUP(B34,'[1]Tổng hợp mã môn học'!B$1:C$129,2,)</f>
        <v>M106K8</v>
      </c>
      <c r="B34" s="16" t="s">
        <v>42</v>
      </c>
      <c r="C34" s="18">
        <v>1</v>
      </c>
      <c r="D34" s="14">
        <f t="shared" si="8"/>
        <v>16</v>
      </c>
      <c r="E34" s="14">
        <v>15</v>
      </c>
      <c r="F34" s="14">
        <v>0</v>
      </c>
      <c r="G34" s="14">
        <v>1</v>
      </c>
      <c r="H34" s="15">
        <f t="shared" si="10"/>
        <v>4</v>
      </c>
      <c r="I34" s="11" t="str">
        <f t="shared" si="1"/>
        <v>M106K8</v>
      </c>
    </row>
    <row r="35" s="1" customFormat="1" ht="18.75" spans="1:9">
      <c r="A35" s="12" t="str">
        <f>VLOOKUP(B35,'[1]Tổng hợp mã môn học'!B$1:C$129,2,)</f>
        <v>M107K8</v>
      </c>
      <c r="B35" s="16" t="s">
        <v>43</v>
      </c>
      <c r="C35" s="18">
        <v>3</v>
      </c>
      <c r="D35" s="14">
        <f t="shared" si="8"/>
        <v>73</v>
      </c>
      <c r="E35" s="14">
        <v>40</v>
      </c>
      <c r="F35" s="14">
        <v>30</v>
      </c>
      <c r="G35" s="14">
        <v>3</v>
      </c>
      <c r="H35" s="15">
        <f t="shared" si="10"/>
        <v>12</v>
      </c>
      <c r="I35" s="11" t="str">
        <f t="shared" si="1"/>
        <v>M107K8</v>
      </c>
    </row>
    <row r="36" s="2" customFormat="1" ht="18.75" spans="1:9">
      <c r="A36" s="12" t="str">
        <f>VLOOKUP(B36,'[1]Tổng hợp mã môn học'!B$1:C$129,2,)</f>
        <v>M108K8</v>
      </c>
      <c r="B36" s="16" t="s">
        <v>44</v>
      </c>
      <c r="C36" s="18">
        <v>2</v>
      </c>
      <c r="D36" s="14">
        <f t="shared" si="8"/>
        <v>32</v>
      </c>
      <c r="E36" s="14">
        <v>30</v>
      </c>
      <c r="F36" s="14">
        <v>0</v>
      </c>
      <c r="G36" s="14">
        <v>2</v>
      </c>
      <c r="H36" s="15">
        <f t="shared" si="10"/>
        <v>8</v>
      </c>
      <c r="I36" s="11" t="str">
        <f t="shared" si="1"/>
        <v>M108K8</v>
      </c>
    </row>
    <row r="37" s="1" customFormat="1" ht="18.75" spans="1:9">
      <c r="A37" s="12" t="str">
        <f>VLOOKUP(B37,'[1]Tổng hợp mã môn học'!B$1:C$129,2,)</f>
        <v>M026K3</v>
      </c>
      <c r="B37" s="16" t="s">
        <v>45</v>
      </c>
      <c r="C37" s="14">
        <v>2</v>
      </c>
      <c r="D37" s="14">
        <f t="shared" si="8"/>
        <v>60</v>
      </c>
      <c r="E37" s="14">
        <v>22</v>
      </c>
      <c r="F37" s="14">
        <v>32</v>
      </c>
      <c r="G37" s="14">
        <v>6</v>
      </c>
      <c r="H37" s="15">
        <f t="shared" si="10"/>
        <v>8</v>
      </c>
      <c r="I37" s="11" t="str">
        <f t="shared" si="1"/>
        <v>M026K3</v>
      </c>
    </row>
    <row r="38" s="2" customFormat="1" ht="37.5" spans="1:9">
      <c r="A38" s="12" t="str">
        <f>VLOOKUP(B38,'[1]Tổng hợp mã môn học'!B$1:C$129,2,)</f>
        <v>M109K8</v>
      </c>
      <c r="B38" s="16" t="s">
        <v>46</v>
      </c>
      <c r="C38" s="18">
        <v>6</v>
      </c>
      <c r="D38" s="14">
        <f t="shared" si="8"/>
        <v>280</v>
      </c>
      <c r="E38" s="14">
        <v>0</v>
      </c>
      <c r="F38" s="14">
        <v>270</v>
      </c>
      <c r="G38" s="14">
        <v>10</v>
      </c>
      <c r="H38" s="15">
        <v>0</v>
      </c>
      <c r="I38" s="11" t="str">
        <f t="shared" si="1"/>
        <v>M109K8</v>
      </c>
    </row>
    <row r="39" s="2" customFormat="1" ht="18.75" spans="1:9">
      <c r="A39" s="12" t="str">
        <f>VLOOKUP(B39,'[1]Tổng hợp mã môn học'!B$1:C$129,2,)</f>
        <v>M110K8</v>
      </c>
      <c r="B39" s="16" t="s">
        <v>47</v>
      </c>
      <c r="C39" s="18">
        <v>2</v>
      </c>
      <c r="D39" s="14">
        <f t="shared" si="8"/>
        <v>32</v>
      </c>
      <c r="E39" s="14">
        <v>30</v>
      </c>
      <c r="F39" s="14">
        <v>0</v>
      </c>
      <c r="G39" s="14">
        <v>2</v>
      </c>
      <c r="H39" s="15">
        <f t="shared" ref="H39:H42" si="11">C39*4</f>
        <v>8</v>
      </c>
      <c r="I39" s="11" t="str">
        <f t="shared" si="1"/>
        <v>M110K8</v>
      </c>
    </row>
    <row r="40" s="2" customFormat="1" ht="18.75" spans="1:9">
      <c r="A40" s="12" t="str">
        <f>VLOOKUP(B40,'[1]Tổng hợp mã môn học'!B$1:C$129,2,)</f>
        <v>M111K8</v>
      </c>
      <c r="B40" s="16" t="s">
        <v>48</v>
      </c>
      <c r="C40" s="18">
        <v>2</v>
      </c>
      <c r="D40" s="14">
        <f t="shared" si="8"/>
        <v>32</v>
      </c>
      <c r="E40" s="14">
        <v>30</v>
      </c>
      <c r="F40" s="14">
        <v>0</v>
      </c>
      <c r="G40" s="14">
        <v>2</v>
      </c>
      <c r="H40" s="15">
        <f t="shared" si="11"/>
        <v>8</v>
      </c>
      <c r="I40" s="11" t="str">
        <f t="shared" si="1"/>
        <v>M111K8</v>
      </c>
    </row>
    <row r="41" s="2" customFormat="1" ht="18.75" spans="1:9">
      <c r="A41" s="12" t="str">
        <f>VLOOKUP(B41,'[1]Tổng hợp mã môn học'!B$1:C$129,2,)</f>
        <v>M112K8</v>
      </c>
      <c r="B41" s="16" t="s">
        <v>49</v>
      </c>
      <c r="C41" s="18">
        <v>2</v>
      </c>
      <c r="D41" s="14">
        <f t="shared" si="8"/>
        <v>32</v>
      </c>
      <c r="E41" s="14">
        <v>30</v>
      </c>
      <c r="F41" s="14">
        <v>0</v>
      </c>
      <c r="G41" s="14">
        <v>2</v>
      </c>
      <c r="H41" s="15">
        <f t="shared" si="11"/>
        <v>8</v>
      </c>
      <c r="I41" s="11" t="str">
        <f t="shared" si="1"/>
        <v>M112K8</v>
      </c>
    </row>
    <row r="42" s="2" customFormat="1" ht="18.75" spans="1:9">
      <c r="A42" s="12" t="str">
        <f>VLOOKUP(B42,'[1]Tổng hợp mã môn học'!B$1:C$129,2,)</f>
        <v>M069K7</v>
      </c>
      <c r="B42" s="16" t="s">
        <v>50</v>
      </c>
      <c r="C42" s="14">
        <v>2</v>
      </c>
      <c r="D42" s="14">
        <f t="shared" si="8"/>
        <v>40</v>
      </c>
      <c r="E42" s="14">
        <v>22</v>
      </c>
      <c r="F42" s="14">
        <v>16</v>
      </c>
      <c r="G42" s="14">
        <v>2</v>
      </c>
      <c r="H42" s="15">
        <f t="shared" si="11"/>
        <v>8</v>
      </c>
      <c r="I42" s="11" t="str">
        <f t="shared" si="1"/>
        <v>M069K7</v>
      </c>
    </row>
    <row r="43" s="2" customFormat="1" ht="37.5" spans="1:9">
      <c r="A43" s="12" t="str">
        <f>VLOOKUP(B43,'[1]Tổng hợp mã môn học'!B$1:C$129,2,)</f>
        <v>M113K8</v>
      </c>
      <c r="B43" s="16" t="s">
        <v>51</v>
      </c>
      <c r="C43" s="18">
        <v>3</v>
      </c>
      <c r="D43" s="14">
        <f t="shared" si="8"/>
        <v>135</v>
      </c>
      <c r="E43" s="14">
        <v>0</v>
      </c>
      <c r="F43" s="14">
        <v>130</v>
      </c>
      <c r="G43" s="14">
        <v>5</v>
      </c>
      <c r="H43" s="15">
        <v>0</v>
      </c>
      <c r="I43" s="11" t="str">
        <f t="shared" si="1"/>
        <v>M113K8</v>
      </c>
    </row>
    <row r="44" s="1" customFormat="1" ht="18.75" spans="1:9">
      <c r="A44" s="12" t="str">
        <f>VLOOKUP(B44,'[1]Tổng hợp mã môn học'!B$1:C$129,2,)</f>
        <v>M114K8</v>
      </c>
      <c r="B44" s="16" t="s">
        <v>52</v>
      </c>
      <c r="C44" s="18">
        <v>2</v>
      </c>
      <c r="D44" s="14">
        <f t="shared" si="8"/>
        <v>90</v>
      </c>
      <c r="E44" s="14">
        <v>0</v>
      </c>
      <c r="F44" s="14">
        <v>85</v>
      </c>
      <c r="G44" s="14">
        <v>5</v>
      </c>
      <c r="H44" s="15">
        <v>0</v>
      </c>
      <c r="I44" s="11" t="str">
        <f t="shared" si="1"/>
        <v>M114K8</v>
      </c>
    </row>
    <row r="45" s="1" customFormat="1" ht="18.75" spans="1:9">
      <c r="A45" s="12" t="str">
        <f>VLOOKUP(B45,'[1]Tổng hợp mã môn học'!B$1:C$129,2,)</f>
        <v>M115K8</v>
      </c>
      <c r="B45" s="16" t="s">
        <v>53</v>
      </c>
      <c r="C45" s="18">
        <v>2</v>
      </c>
      <c r="D45" s="14">
        <f t="shared" si="8"/>
        <v>32</v>
      </c>
      <c r="E45" s="14">
        <v>30</v>
      </c>
      <c r="F45" s="14">
        <v>0</v>
      </c>
      <c r="G45" s="14">
        <v>2</v>
      </c>
      <c r="H45" s="15">
        <f t="shared" ref="H45:H47" si="12">C45*4</f>
        <v>8</v>
      </c>
      <c r="I45" s="11" t="str">
        <f t="shared" si="1"/>
        <v>M115K8</v>
      </c>
    </row>
    <row r="46" s="2" customFormat="1" ht="18.75" spans="1:9">
      <c r="A46" s="12" t="str">
        <f>VLOOKUP(B46,'[1]Tổng hợp mã môn học'!B$1:C$129,2,)</f>
        <v>M116K8</v>
      </c>
      <c r="B46" s="16" t="s">
        <v>54</v>
      </c>
      <c r="C46" s="18">
        <v>2</v>
      </c>
      <c r="D46" s="14">
        <f t="shared" si="8"/>
        <v>45</v>
      </c>
      <c r="E46" s="14">
        <v>15</v>
      </c>
      <c r="F46" s="14">
        <v>28</v>
      </c>
      <c r="G46" s="14">
        <v>2</v>
      </c>
      <c r="H46" s="15">
        <f t="shared" si="12"/>
        <v>8</v>
      </c>
      <c r="I46" s="11" t="str">
        <f t="shared" si="1"/>
        <v>M116K8</v>
      </c>
    </row>
    <row r="47" s="2" customFormat="1" ht="18.75" spans="1:9">
      <c r="A47" s="12" t="str">
        <f>VLOOKUP(B47,'[1]Tổng hợp mã môn học'!B$1:C$129,2,)</f>
        <v>M117K8</v>
      </c>
      <c r="B47" s="16" t="s">
        <v>55</v>
      </c>
      <c r="C47" s="18">
        <v>2</v>
      </c>
      <c r="D47" s="14">
        <f t="shared" si="8"/>
        <v>32</v>
      </c>
      <c r="E47" s="14">
        <v>15</v>
      </c>
      <c r="F47" s="14">
        <v>15</v>
      </c>
      <c r="G47" s="14">
        <v>2</v>
      </c>
      <c r="H47" s="15">
        <f t="shared" si="12"/>
        <v>8</v>
      </c>
      <c r="I47" s="11" t="str">
        <f t="shared" si="1"/>
        <v>M117K8</v>
      </c>
    </row>
    <row r="48" s="1" customFormat="1" ht="18.75" spans="1:9">
      <c r="A48" s="12" t="s">
        <v>56</v>
      </c>
      <c r="B48" s="16" t="s">
        <v>57</v>
      </c>
      <c r="C48" s="18">
        <v>6</v>
      </c>
      <c r="D48" s="14">
        <f t="shared" si="8"/>
        <v>280</v>
      </c>
      <c r="E48" s="14">
        <v>0</v>
      </c>
      <c r="F48" s="14">
        <v>270</v>
      </c>
      <c r="G48" s="14">
        <v>10</v>
      </c>
      <c r="H48" s="15"/>
      <c r="I48" s="11" t="str">
        <f t="shared" si="1"/>
        <v>M093K8</v>
      </c>
    </row>
    <row r="49" s="1" customFormat="1" ht="18.75" spans="1:12">
      <c r="A49" s="14"/>
      <c r="B49" s="16" t="s">
        <v>58</v>
      </c>
      <c r="C49" s="14"/>
      <c r="D49" s="14">
        <f>SUM(E49,F49,G49)</f>
        <v>0</v>
      </c>
      <c r="E49" s="14"/>
      <c r="F49" s="14"/>
      <c r="G49" s="14"/>
      <c r="H49" s="15">
        <v>90</v>
      </c>
      <c r="I49" s="11">
        <f t="shared" si="1"/>
        <v>0</v>
      </c>
    </row>
    <row r="50" s="1" customFormat="1" ht="18.75" spans="1:12">
      <c r="A50" s="14"/>
      <c r="B50" s="10" t="s">
        <v>59</v>
      </c>
      <c r="C50" s="10">
        <f t="shared" ref="C50:H50" si="13">SUM(C6,C15)</f>
        <v>105</v>
      </c>
      <c r="D50" s="10">
        <f t="shared" si="13"/>
        <v>2810</v>
      </c>
      <c r="E50" s="10">
        <f t="shared" si="13"/>
        <v>1050</v>
      </c>
      <c r="F50" s="10">
        <f t="shared" si="13"/>
        <v>1621</v>
      </c>
      <c r="G50" s="10">
        <f t="shared" si="13"/>
        <v>139</v>
      </c>
      <c r="H50" s="10">
        <f t="shared" si="13"/>
        <v>442</v>
      </c>
      <c r="I50" s="11">
        <f t="shared" si="1"/>
        <v>0</v>
      </c>
      <c r="J50" s="19">
        <f>SUM(E50:F50)</f>
        <v>2671</v>
      </c>
      <c r="K50" s="19" t="s">
        <v>60</v>
      </c>
      <c r="L50" s="20" t="s">
        <v>61</v>
      </c>
    </row>
    <row r="51" s="1" customFormat="1" ht="18.75" spans="1:12">
      <c r="J51" s="21"/>
      <c r="K51" s="1" t="s">
        <v>62</v>
      </c>
      <c r="L51" s="1" t="s">
        <v>63</v>
      </c>
    </row>
    <row r="52" s="1" customFormat="1" ht="18.75" spans="1:12">
      <c r="A52" s="4" t="s">
        <v>64</v>
      </c>
      <c r="B52" s="4"/>
      <c r="C52" s="4"/>
      <c r="D52" s="4"/>
      <c r="E52" s="4"/>
      <c r="F52" s="4"/>
      <c r="G52" s="4"/>
      <c r="H52" s="4"/>
      <c r="J52" s="20"/>
      <c r="K52" s="22">
        <f>E50/J50*100</f>
        <v>39.3111194309247</v>
      </c>
      <c r="L52" s="22">
        <f>F50/J50*100</f>
        <v>60.6888805690753</v>
      </c>
    </row>
    <row r="53" s="1" customFormat="1" ht="18.75" spans="1:12">
      <c r="A53" s="23" t="s">
        <v>65</v>
      </c>
      <c r="B53" s="23"/>
      <c r="C53" s="24"/>
      <c r="D53" s="24"/>
      <c r="E53" s="24"/>
      <c r="F53" s="24"/>
      <c r="G53" s="24"/>
      <c r="H53" s="24"/>
    </row>
    <row r="54" s="1" customFormat="1" ht="18.75" spans="1:12">
      <c r="A54" s="6" t="s">
        <v>66</v>
      </c>
      <c r="B54" s="6" t="s">
        <v>3</v>
      </c>
      <c r="C54" s="6" t="s">
        <v>4</v>
      </c>
      <c r="D54" s="6" t="s">
        <v>5</v>
      </c>
      <c r="E54" s="6"/>
      <c r="F54" s="6"/>
      <c r="G54" s="6"/>
      <c r="H54" s="10" t="s">
        <v>6</v>
      </c>
    </row>
    <row r="55" s="1" customFormat="1" ht="18.75" spans="1:12">
      <c r="A55" s="6"/>
      <c r="B55" s="6"/>
      <c r="C55" s="6"/>
      <c r="D55" s="6" t="s">
        <v>7</v>
      </c>
      <c r="E55" s="6" t="s">
        <v>8</v>
      </c>
      <c r="F55" s="6"/>
      <c r="G55" s="6"/>
      <c r="H55" s="25"/>
    </row>
    <row r="56" s="1" customFormat="1" ht="75" spans="1:12">
      <c r="A56" s="6"/>
      <c r="B56" s="6"/>
      <c r="C56" s="6"/>
      <c r="D56" s="6"/>
      <c r="E56" s="6" t="s">
        <v>9</v>
      </c>
      <c r="F56" s="6" t="s">
        <v>67</v>
      </c>
      <c r="G56" s="6" t="s">
        <v>68</v>
      </c>
      <c r="H56" s="25"/>
    </row>
    <row r="57" s="1" customFormat="1" ht="18.75" spans="1:12">
      <c r="A57" s="14" t="str">
        <f>VLOOKUP(B57,$B$6:$I$50,8,0)</f>
        <v>M019K2</v>
      </c>
      <c r="B57" s="13" t="s">
        <v>14</v>
      </c>
      <c r="C57" s="14">
        <f t="shared" ref="C57:C64" si="14">VLOOKUP($B$57:$B$64,$B$6:$I$50,2,0)</f>
        <v>5</v>
      </c>
      <c r="D57" s="14">
        <f t="shared" ref="D57:D64" si="15">VLOOKUP($B$57:$B$64,$B$6:$I$50,3,0)</f>
        <v>75</v>
      </c>
      <c r="E57" s="14">
        <f t="shared" ref="E57:E64" si="16">VLOOKUP($B$57:$B$64,$B$6:$I$50,4,0)</f>
        <v>41</v>
      </c>
      <c r="F57" s="14">
        <f t="shared" ref="F57:F64" si="17">VLOOKUP($B$57:$B$64,$B$6:$I$50,5,0)</f>
        <v>29</v>
      </c>
      <c r="G57" s="14">
        <f t="shared" ref="G57:G64" si="18">VLOOKUP($B$57:$B$64,$B$6:$I$50,6,0)</f>
        <v>5</v>
      </c>
      <c r="H57" s="14">
        <f t="shared" ref="H57:H64" si="19">VLOOKUP($B$57:$B$64,$B$6:$I$50,7,0)</f>
        <v>20</v>
      </c>
    </row>
    <row r="58" s="1" customFormat="1" ht="18.75" spans="1:12">
      <c r="A58" s="14" t="str">
        <f t="shared" ref="A58:A64" si="20">VLOOKUP(B58,$B$6:$I$55,8,0)</f>
        <v>M020K2</v>
      </c>
      <c r="B58" s="13" t="s">
        <v>15</v>
      </c>
      <c r="C58" s="14">
        <f t="shared" si="14"/>
        <v>2</v>
      </c>
      <c r="D58" s="14">
        <f t="shared" si="15"/>
        <v>30</v>
      </c>
      <c r="E58" s="14">
        <f t="shared" si="16"/>
        <v>18</v>
      </c>
      <c r="F58" s="14">
        <f t="shared" si="17"/>
        <v>10</v>
      </c>
      <c r="G58" s="14">
        <f t="shared" si="18"/>
        <v>2</v>
      </c>
      <c r="H58" s="14">
        <f t="shared" si="19"/>
        <v>8</v>
      </c>
    </row>
    <row r="59" s="1" customFormat="1" ht="18.75" spans="1:12">
      <c r="A59" s="14" t="str">
        <f t="shared" si="20"/>
        <v>M024K3</v>
      </c>
      <c r="B59" s="13" t="s">
        <v>20</v>
      </c>
      <c r="C59" s="14">
        <f t="shared" si="14"/>
        <v>1</v>
      </c>
      <c r="D59" s="14">
        <f t="shared" si="15"/>
        <v>27</v>
      </c>
      <c r="E59" s="14">
        <f t="shared" si="16"/>
        <v>10</v>
      </c>
      <c r="F59" s="14">
        <f t="shared" si="17"/>
        <v>16</v>
      </c>
      <c r="G59" s="14">
        <f t="shared" si="18"/>
        <v>1</v>
      </c>
      <c r="H59" s="14">
        <f t="shared" si="19"/>
        <v>4</v>
      </c>
    </row>
    <row r="60" s="1" customFormat="1" ht="18.75" spans="1:12">
      <c r="A60" s="14" t="str">
        <f t="shared" si="20"/>
        <v>M098K8</v>
      </c>
      <c r="B60" s="16" t="s">
        <v>25</v>
      </c>
      <c r="C60" s="14">
        <f t="shared" si="14"/>
        <v>2</v>
      </c>
      <c r="D60" s="14">
        <f t="shared" si="15"/>
        <v>60</v>
      </c>
      <c r="E60" s="14">
        <f t="shared" si="16"/>
        <v>28</v>
      </c>
      <c r="F60" s="14">
        <f t="shared" si="17"/>
        <v>30</v>
      </c>
      <c r="G60" s="14">
        <f t="shared" si="18"/>
        <v>2</v>
      </c>
      <c r="H60" s="14">
        <f t="shared" si="19"/>
        <v>8</v>
      </c>
    </row>
    <row r="61" s="1" customFormat="1" ht="18.75" spans="1:12">
      <c r="A61" s="14" t="str">
        <f t="shared" si="20"/>
        <v>M031K4</v>
      </c>
      <c r="B61" s="16" t="s">
        <v>27</v>
      </c>
      <c r="C61" s="14">
        <f t="shared" si="14"/>
        <v>2</v>
      </c>
      <c r="D61" s="14">
        <f t="shared" si="15"/>
        <v>33</v>
      </c>
      <c r="E61" s="14">
        <f t="shared" si="16"/>
        <v>30</v>
      </c>
      <c r="F61" s="14">
        <f t="shared" si="17"/>
        <v>0</v>
      </c>
      <c r="G61" s="14">
        <f t="shared" si="18"/>
        <v>3</v>
      </c>
      <c r="H61" s="14">
        <f t="shared" si="19"/>
        <v>8</v>
      </c>
    </row>
    <row r="62" s="1" customFormat="1" ht="18.75" spans="1:12">
      <c r="A62" s="14" t="str">
        <f t="shared" si="20"/>
        <v>M035K4</v>
      </c>
      <c r="B62" s="16" t="s">
        <v>28</v>
      </c>
      <c r="C62" s="14">
        <f t="shared" si="14"/>
        <v>4</v>
      </c>
      <c r="D62" s="14">
        <f t="shared" si="15"/>
        <v>102</v>
      </c>
      <c r="E62" s="14">
        <f t="shared" si="16"/>
        <v>50</v>
      </c>
      <c r="F62" s="14">
        <f t="shared" si="17"/>
        <v>42</v>
      </c>
      <c r="G62" s="14">
        <f t="shared" si="18"/>
        <v>10</v>
      </c>
      <c r="H62" s="14">
        <f t="shared" si="19"/>
        <v>16</v>
      </c>
    </row>
    <row r="63" s="1" customFormat="1" ht="18.75" spans="1:12">
      <c r="A63" s="14" t="str">
        <f t="shared" si="20"/>
        <v>M101K8</v>
      </c>
      <c r="B63" s="26" t="s">
        <v>35</v>
      </c>
      <c r="C63" s="14">
        <f t="shared" si="14"/>
        <v>3</v>
      </c>
      <c r="D63" s="14">
        <f t="shared" si="15"/>
        <v>90</v>
      </c>
      <c r="E63" s="14">
        <f t="shared" si="16"/>
        <v>42</v>
      </c>
      <c r="F63" s="14">
        <f t="shared" si="17"/>
        <v>45</v>
      </c>
      <c r="G63" s="14">
        <f t="shared" si="18"/>
        <v>3</v>
      </c>
      <c r="H63" s="14">
        <f t="shared" si="19"/>
        <v>12</v>
      </c>
    </row>
    <row r="64" s="1" customFormat="1" ht="18.75" spans="1:12">
      <c r="A64" s="14" t="str">
        <f t="shared" si="20"/>
        <v>M100K8</v>
      </c>
      <c r="B64" s="16" t="s">
        <v>34</v>
      </c>
      <c r="C64" s="14">
        <f t="shared" si="14"/>
        <v>3</v>
      </c>
      <c r="D64" s="14">
        <f t="shared" si="15"/>
        <v>75</v>
      </c>
      <c r="E64" s="14">
        <f t="shared" si="16"/>
        <v>42</v>
      </c>
      <c r="F64" s="14">
        <f t="shared" si="17"/>
        <v>30</v>
      </c>
      <c r="G64" s="14">
        <f t="shared" si="18"/>
        <v>3</v>
      </c>
      <c r="H64" s="14">
        <f t="shared" si="19"/>
        <v>12</v>
      </c>
    </row>
    <row r="65" s="1" customFormat="1" ht="18.75" spans="1:8">
      <c r="A65" s="6" t="s">
        <v>69</v>
      </c>
      <c r="B65" s="6"/>
      <c r="C65" s="8">
        <f t="shared" ref="C65:H65" si="21">SUM(C57:C64)</f>
        <v>22</v>
      </c>
      <c r="D65" s="8">
        <f t="shared" si="21"/>
        <v>492</v>
      </c>
      <c r="E65" s="8">
        <f t="shared" si="21"/>
        <v>261</v>
      </c>
      <c r="F65" s="8">
        <f t="shared" si="21"/>
        <v>202</v>
      </c>
      <c r="G65" s="8">
        <f t="shared" si="21"/>
        <v>29</v>
      </c>
      <c r="H65" s="8">
        <f t="shared" si="21"/>
        <v>88</v>
      </c>
    </row>
    <row r="66" s="1" customFormat="1" ht="18.75" spans="1:8">
      <c r="A66" s="24"/>
      <c r="B66" s="24"/>
      <c r="C66" s="24"/>
      <c r="D66" s="24"/>
      <c r="E66" s="24"/>
      <c r="F66" s="24"/>
      <c r="G66" s="24"/>
      <c r="H66" s="24"/>
    </row>
    <row r="67" s="1" customFormat="1" ht="18.75" spans="1:8">
      <c r="A67" s="23" t="s">
        <v>70</v>
      </c>
      <c r="B67" s="23"/>
      <c r="C67" s="24"/>
      <c r="D67" s="24"/>
      <c r="E67" s="24"/>
      <c r="F67" s="24"/>
      <c r="G67" s="24"/>
      <c r="H67" s="24"/>
    </row>
    <row r="68" s="1" customFormat="1" ht="18.75" spans="1:8">
      <c r="A68" s="6" t="s">
        <v>66</v>
      </c>
      <c r="B68" s="6" t="s">
        <v>3</v>
      </c>
      <c r="C68" s="6" t="s">
        <v>4</v>
      </c>
      <c r="D68" s="6" t="s">
        <v>5</v>
      </c>
      <c r="E68" s="6"/>
      <c r="F68" s="6"/>
      <c r="G68" s="6"/>
      <c r="H68" s="10" t="s">
        <v>6</v>
      </c>
    </row>
    <row r="69" s="1" customFormat="1" ht="18.75" spans="1:8">
      <c r="A69" s="6"/>
      <c r="B69" s="6"/>
      <c r="C69" s="6"/>
      <c r="D69" s="6" t="s">
        <v>7</v>
      </c>
      <c r="E69" s="6" t="s">
        <v>8</v>
      </c>
      <c r="F69" s="6"/>
      <c r="G69" s="6"/>
      <c r="H69" s="25"/>
    </row>
    <row r="70" s="1" customFormat="1" ht="75" spans="1:8">
      <c r="A70" s="6"/>
      <c r="B70" s="6"/>
      <c r="C70" s="6"/>
      <c r="D70" s="6"/>
      <c r="E70" s="6" t="s">
        <v>9</v>
      </c>
      <c r="F70" s="6" t="s">
        <v>67</v>
      </c>
      <c r="G70" s="6" t="s">
        <v>68</v>
      </c>
      <c r="H70" s="25"/>
    </row>
    <row r="71" s="1" customFormat="1" ht="18.75" spans="1:8">
      <c r="A71" s="14" t="str">
        <f t="shared" ref="A71:A77" si="22">VLOOKUP(B71,$B$6:$I$55,8,0)</f>
        <v>M023K3</v>
      </c>
      <c r="B71" s="16" t="s">
        <v>18</v>
      </c>
      <c r="C71" s="14">
        <f t="shared" ref="C71:C77" si="23">VLOOKUP($B$71:$B$77,$B$6:$I$50,2,0)</f>
        <v>4</v>
      </c>
      <c r="D71" s="14">
        <f t="shared" ref="D71:D77" si="24">VLOOKUP($B$71:$B$77,$B$6:$I$50,3,0)</f>
        <v>120</v>
      </c>
      <c r="E71" s="14">
        <f t="shared" ref="E71:E77" si="25">VLOOKUP($B$71:$B$77,$B$6:$I$50,4,0)</f>
        <v>42</v>
      </c>
      <c r="F71" s="14">
        <f t="shared" ref="F71:F77" si="26">VLOOKUP($B$71:$B$77,$B$6:$I$50,5,0)</f>
        <v>72</v>
      </c>
      <c r="G71" s="14">
        <f t="shared" ref="G71:G77" si="27">VLOOKUP($B$71:$B$77,$B$6:$I$50,6,0)</f>
        <v>6</v>
      </c>
      <c r="H71" s="14">
        <f t="shared" ref="H71:H77" si="28">VLOOKUP($B$71:$B$77,$B$6:$I$50,7,0)</f>
        <v>16</v>
      </c>
    </row>
    <row r="72" s="1" customFormat="1" ht="18.75" spans="1:8">
      <c r="A72" s="14" t="str">
        <f t="shared" si="22"/>
        <v>M099K8</v>
      </c>
      <c r="B72" s="16" t="s">
        <v>26</v>
      </c>
      <c r="C72" s="14">
        <f t="shared" si="23"/>
        <v>2</v>
      </c>
      <c r="D72" s="14">
        <f t="shared" si="24"/>
        <v>60</v>
      </c>
      <c r="E72" s="14">
        <f t="shared" si="25"/>
        <v>28</v>
      </c>
      <c r="F72" s="14">
        <f t="shared" si="26"/>
        <v>30</v>
      </c>
      <c r="G72" s="14">
        <f t="shared" si="27"/>
        <v>2</v>
      </c>
      <c r="H72" s="14">
        <f t="shared" si="28"/>
        <v>8</v>
      </c>
    </row>
    <row r="73" s="1" customFormat="1" ht="18.75" spans="1:8">
      <c r="A73" s="14" t="str">
        <f t="shared" si="22"/>
        <v>M001K1</v>
      </c>
      <c r="B73" s="13" t="s">
        <v>16</v>
      </c>
      <c r="C73" s="14">
        <f t="shared" si="23"/>
        <v>2</v>
      </c>
      <c r="D73" s="14">
        <f t="shared" si="24"/>
        <v>60</v>
      </c>
      <c r="E73" s="14">
        <f t="shared" si="25"/>
        <v>2</v>
      </c>
      <c r="F73" s="14">
        <f t="shared" si="26"/>
        <v>54</v>
      </c>
      <c r="G73" s="14">
        <f t="shared" si="27"/>
        <v>4</v>
      </c>
      <c r="H73" s="14">
        <f t="shared" si="28"/>
        <v>8</v>
      </c>
    </row>
    <row r="74" s="1" customFormat="1" ht="18.75" spans="1:8">
      <c r="A74" s="14" t="str">
        <f t="shared" si="22"/>
        <v>M008K1</v>
      </c>
      <c r="B74" s="13" t="s">
        <v>17</v>
      </c>
      <c r="C74" s="14">
        <f t="shared" si="23"/>
        <v>3</v>
      </c>
      <c r="D74" s="14">
        <f t="shared" si="24"/>
        <v>75</v>
      </c>
      <c r="E74" s="14">
        <f t="shared" si="25"/>
        <v>34</v>
      </c>
      <c r="F74" s="14">
        <f t="shared" si="26"/>
        <v>37</v>
      </c>
      <c r="G74" s="14">
        <f t="shared" si="27"/>
        <v>4</v>
      </c>
      <c r="H74" s="14">
        <f t="shared" si="28"/>
        <v>12</v>
      </c>
    </row>
    <row r="75" s="1" customFormat="1" ht="18.75" spans="1:8">
      <c r="A75" s="14" t="str">
        <f t="shared" si="22"/>
        <v>M029K4</v>
      </c>
      <c r="B75" s="13" t="s">
        <v>29</v>
      </c>
      <c r="C75" s="14">
        <f t="shared" si="23"/>
        <v>2</v>
      </c>
      <c r="D75" s="14">
        <f t="shared" si="24"/>
        <v>48</v>
      </c>
      <c r="E75" s="14">
        <f t="shared" si="25"/>
        <v>30</v>
      </c>
      <c r="F75" s="14">
        <f t="shared" si="26"/>
        <v>15</v>
      </c>
      <c r="G75" s="14">
        <f t="shared" si="27"/>
        <v>3</v>
      </c>
      <c r="H75" s="14">
        <f t="shared" si="28"/>
        <v>8</v>
      </c>
    </row>
    <row r="76" s="1" customFormat="1" ht="18.75" spans="1:8">
      <c r="A76" s="14" t="str">
        <f t="shared" si="22"/>
        <v>M033K4</v>
      </c>
      <c r="B76" s="16" t="s">
        <v>30</v>
      </c>
      <c r="C76" s="14">
        <f t="shared" si="23"/>
        <v>2</v>
      </c>
      <c r="D76" s="14">
        <f t="shared" si="24"/>
        <v>33</v>
      </c>
      <c r="E76" s="14">
        <f t="shared" si="25"/>
        <v>30</v>
      </c>
      <c r="F76" s="14">
        <f t="shared" si="26"/>
        <v>0</v>
      </c>
      <c r="G76" s="14">
        <f t="shared" si="27"/>
        <v>3</v>
      </c>
      <c r="H76" s="14">
        <f t="shared" si="28"/>
        <v>8</v>
      </c>
    </row>
    <row r="77" s="1" customFormat="1" ht="18.75" spans="1:8">
      <c r="A77" s="14" t="str">
        <f t="shared" si="22"/>
        <v>M102K8</v>
      </c>
      <c r="B77" s="27" t="s">
        <v>37</v>
      </c>
      <c r="C77" s="14">
        <f t="shared" si="23"/>
        <v>3</v>
      </c>
      <c r="D77" s="14">
        <f t="shared" si="24"/>
        <v>75</v>
      </c>
      <c r="E77" s="14">
        <f t="shared" si="25"/>
        <v>42</v>
      </c>
      <c r="F77" s="14">
        <f t="shared" si="26"/>
        <v>30</v>
      </c>
      <c r="G77" s="14">
        <f t="shared" si="27"/>
        <v>3</v>
      </c>
      <c r="H77" s="14">
        <f t="shared" si="28"/>
        <v>12</v>
      </c>
    </row>
    <row r="78" s="1" customFormat="1" ht="18.75" spans="1:8">
      <c r="A78" s="6" t="s">
        <v>69</v>
      </c>
      <c r="B78" s="6"/>
      <c r="C78" s="8">
        <f t="shared" ref="C78:H78" si="29">SUM(C71:C77)</f>
        <v>18</v>
      </c>
      <c r="D78" s="8">
        <f t="shared" si="29"/>
        <v>471</v>
      </c>
      <c r="E78" s="8">
        <f t="shared" si="29"/>
        <v>208</v>
      </c>
      <c r="F78" s="8">
        <f t="shared" si="29"/>
        <v>238</v>
      </c>
      <c r="G78" s="8">
        <f t="shared" si="29"/>
        <v>25</v>
      </c>
      <c r="H78" s="8">
        <f t="shared" si="29"/>
        <v>72</v>
      </c>
    </row>
    <row r="79" s="1" customFormat="1" ht="18.75" spans="1:8">
      <c r="A79" s="24"/>
      <c r="B79" s="24"/>
      <c r="C79" s="24"/>
      <c r="D79" s="24"/>
      <c r="E79" s="24"/>
      <c r="F79" s="24"/>
      <c r="G79" s="24"/>
      <c r="H79" s="24"/>
    </row>
    <row r="80" s="1" customFormat="1" ht="18.75" spans="1:8">
      <c r="A80" s="23" t="s">
        <v>71</v>
      </c>
      <c r="B80" s="23"/>
      <c r="C80" s="24"/>
      <c r="D80" s="24"/>
      <c r="E80" s="24"/>
      <c r="F80" s="24"/>
      <c r="G80" s="24"/>
      <c r="H80" s="24"/>
    </row>
    <row r="81" s="1" customFormat="1" ht="18.75" spans="1:8">
      <c r="A81" s="6" t="s">
        <v>66</v>
      </c>
      <c r="B81" s="6" t="s">
        <v>3</v>
      </c>
      <c r="C81" s="6" t="s">
        <v>4</v>
      </c>
      <c r="D81" s="6" t="s">
        <v>5</v>
      </c>
      <c r="E81" s="6"/>
      <c r="F81" s="6"/>
      <c r="G81" s="6"/>
      <c r="H81" s="10" t="s">
        <v>6</v>
      </c>
    </row>
    <row r="82" s="1" customFormat="1" ht="18.75" spans="1:8">
      <c r="A82" s="6"/>
      <c r="B82" s="6"/>
      <c r="C82" s="6"/>
      <c r="D82" s="6" t="s">
        <v>7</v>
      </c>
      <c r="E82" s="6" t="s">
        <v>8</v>
      </c>
      <c r="F82" s="6"/>
      <c r="G82" s="6"/>
      <c r="H82" s="25"/>
    </row>
    <row r="83" s="1" customFormat="1" ht="75" spans="1:8">
      <c r="A83" s="6"/>
      <c r="B83" s="6"/>
      <c r="C83" s="6"/>
      <c r="D83" s="6"/>
      <c r="E83" s="6" t="s">
        <v>9</v>
      </c>
      <c r="F83" s="6" t="s">
        <v>67</v>
      </c>
      <c r="G83" s="6" t="s">
        <v>68</v>
      </c>
      <c r="H83" s="25"/>
    </row>
    <row r="84" s="1" customFormat="1" ht="18.75" spans="1:8">
      <c r="A84" s="14" t="str">
        <f t="shared" ref="A84:A90" si="30">VLOOKUP(B84,$B$6:$I$55,8,0)</f>
        <v>M022K3</v>
      </c>
      <c r="B84" s="13" t="s">
        <v>19</v>
      </c>
      <c r="C84" s="14">
        <f t="shared" ref="C84:C90" si="31">VLOOKUP($B$84:$B$90,$B$6:$I$50,2,0)</f>
        <v>3</v>
      </c>
      <c r="D84" s="14">
        <f t="shared" ref="D84:D90" si="32">VLOOKUP($B$84:$B$90,$B$6:$I$50,3,0)</f>
        <v>88</v>
      </c>
      <c r="E84" s="14">
        <f t="shared" ref="E84:E90" si="33">VLOOKUP($B$84:$B$90,$B$6:$I$50,4,0)</f>
        <v>21</v>
      </c>
      <c r="F84" s="14">
        <f t="shared" ref="F84:F90" si="34">VLOOKUP($B$84:$B$90,$B$6:$I$50,5,0)</f>
        <v>64</v>
      </c>
      <c r="G84" s="14">
        <f t="shared" ref="G84:G90" si="35">VLOOKUP($B$84:$B$90,$B$6:$I$50,6,0)</f>
        <v>3</v>
      </c>
      <c r="H84" s="14">
        <f t="shared" ref="H84:H90" si="36">VLOOKUP($B$84:$B$90,$B$6:$I$50,7,0)</f>
        <v>12</v>
      </c>
    </row>
    <row r="85" s="1" customFormat="1" ht="18.75" spans="1:8">
      <c r="A85" s="14" t="str">
        <f t="shared" si="30"/>
        <v>M067K6</v>
      </c>
      <c r="B85" s="16" t="s">
        <v>31</v>
      </c>
      <c r="C85" s="14">
        <f t="shared" si="31"/>
        <v>2</v>
      </c>
      <c r="D85" s="14">
        <f t="shared" si="32"/>
        <v>36</v>
      </c>
      <c r="E85" s="14">
        <f t="shared" si="33"/>
        <v>32</v>
      </c>
      <c r="F85" s="14">
        <f t="shared" si="34"/>
        <v>0</v>
      </c>
      <c r="G85" s="14">
        <f t="shared" si="35"/>
        <v>4</v>
      </c>
      <c r="H85" s="14">
        <f t="shared" si="36"/>
        <v>8</v>
      </c>
    </row>
    <row r="86" s="1" customFormat="1" ht="18.75" spans="1:8">
      <c r="A86" s="14" t="str">
        <f t="shared" si="30"/>
        <v>M026K3</v>
      </c>
      <c r="B86" s="16" t="s">
        <v>45</v>
      </c>
      <c r="C86" s="14">
        <f t="shared" si="31"/>
        <v>2</v>
      </c>
      <c r="D86" s="14">
        <f t="shared" si="32"/>
        <v>60</v>
      </c>
      <c r="E86" s="14">
        <f t="shared" si="33"/>
        <v>22</v>
      </c>
      <c r="F86" s="14">
        <f t="shared" si="34"/>
        <v>32</v>
      </c>
      <c r="G86" s="14">
        <f t="shared" si="35"/>
        <v>6</v>
      </c>
      <c r="H86" s="14">
        <f t="shared" si="36"/>
        <v>8</v>
      </c>
    </row>
    <row r="87" s="1" customFormat="1" ht="18.75" spans="1:8">
      <c r="A87" s="14" t="str">
        <f t="shared" si="30"/>
        <v>M050K5</v>
      </c>
      <c r="B87" s="16" t="s">
        <v>33</v>
      </c>
      <c r="C87" s="14">
        <f t="shared" si="31"/>
        <v>3</v>
      </c>
      <c r="D87" s="14">
        <f t="shared" si="32"/>
        <v>45</v>
      </c>
      <c r="E87" s="14">
        <f t="shared" si="33"/>
        <v>43</v>
      </c>
      <c r="F87" s="14">
        <f t="shared" si="34"/>
        <v>0</v>
      </c>
      <c r="G87" s="14">
        <f t="shared" si="35"/>
        <v>2</v>
      </c>
      <c r="H87" s="14">
        <f t="shared" si="36"/>
        <v>12</v>
      </c>
    </row>
    <row r="88" s="1" customFormat="1" ht="18.75" spans="1:8">
      <c r="A88" s="14" t="str">
        <f t="shared" si="30"/>
        <v>M055K6</v>
      </c>
      <c r="B88" s="13" t="s">
        <v>32</v>
      </c>
      <c r="C88" s="14">
        <f t="shared" si="31"/>
        <v>2</v>
      </c>
      <c r="D88" s="14">
        <f t="shared" si="32"/>
        <v>50</v>
      </c>
      <c r="E88" s="14">
        <f t="shared" si="33"/>
        <v>16</v>
      </c>
      <c r="F88" s="14">
        <f t="shared" si="34"/>
        <v>30</v>
      </c>
      <c r="G88" s="14">
        <f t="shared" si="35"/>
        <v>4</v>
      </c>
      <c r="H88" s="14">
        <f t="shared" si="36"/>
        <v>8</v>
      </c>
    </row>
    <row r="89" s="1" customFormat="1" ht="18.75" spans="1:8">
      <c r="A89" s="14" t="str">
        <f t="shared" si="30"/>
        <v>M103K8</v>
      </c>
      <c r="B89" s="16" t="s">
        <v>39</v>
      </c>
      <c r="C89" s="14">
        <f t="shared" si="31"/>
        <v>4</v>
      </c>
      <c r="D89" s="14">
        <f t="shared" si="32"/>
        <v>99</v>
      </c>
      <c r="E89" s="14">
        <f t="shared" si="33"/>
        <v>50</v>
      </c>
      <c r="F89" s="14">
        <f t="shared" si="34"/>
        <v>45</v>
      </c>
      <c r="G89" s="14">
        <f t="shared" si="35"/>
        <v>4</v>
      </c>
      <c r="H89" s="14">
        <f t="shared" si="36"/>
        <v>16</v>
      </c>
    </row>
    <row r="90" s="1" customFormat="1" ht="18.75" spans="1:8">
      <c r="A90" s="14" t="str">
        <f t="shared" si="30"/>
        <v>M104K8</v>
      </c>
      <c r="B90" s="16" t="s">
        <v>40</v>
      </c>
      <c r="C90" s="14">
        <f t="shared" si="31"/>
        <v>2</v>
      </c>
      <c r="D90" s="14">
        <f t="shared" si="32"/>
        <v>67</v>
      </c>
      <c r="E90" s="14">
        <f t="shared" si="33"/>
        <v>20</v>
      </c>
      <c r="F90" s="14">
        <f t="shared" si="34"/>
        <v>45</v>
      </c>
      <c r="G90" s="14">
        <f t="shared" si="35"/>
        <v>2</v>
      </c>
      <c r="H90" s="14">
        <f t="shared" si="36"/>
        <v>8</v>
      </c>
    </row>
    <row r="91" s="1" customFormat="1" ht="18.75" spans="1:8">
      <c r="A91" s="6" t="s">
        <v>69</v>
      </c>
      <c r="B91" s="6"/>
      <c r="C91" s="8">
        <f t="shared" ref="C91:H91" si="37">SUM(C84:C90)</f>
        <v>18</v>
      </c>
      <c r="D91" s="8">
        <f t="shared" si="37"/>
        <v>445</v>
      </c>
      <c r="E91" s="8">
        <f t="shared" si="37"/>
        <v>204</v>
      </c>
      <c r="F91" s="8">
        <f t="shared" si="37"/>
        <v>216</v>
      </c>
      <c r="G91" s="8">
        <f t="shared" si="37"/>
        <v>25</v>
      </c>
      <c r="H91" s="8">
        <f t="shared" si="37"/>
        <v>72</v>
      </c>
    </row>
    <row r="92" s="1" customFormat="1" ht="18.75" spans="1:8">
      <c r="A92" s="24"/>
      <c r="B92" s="24"/>
      <c r="C92" s="24"/>
      <c r="D92" s="24"/>
      <c r="E92" s="24"/>
      <c r="F92" s="24"/>
      <c r="G92" s="24"/>
      <c r="H92" s="24"/>
    </row>
    <row r="93" s="1" customFormat="1" ht="18.75" spans="1:8">
      <c r="A93" s="23" t="s">
        <v>72</v>
      </c>
      <c r="B93" s="23"/>
      <c r="C93" s="24"/>
      <c r="D93" s="24"/>
      <c r="E93" s="24"/>
      <c r="F93" s="24"/>
      <c r="G93" s="24"/>
      <c r="H93" s="24"/>
    </row>
    <row r="94" s="1" customFormat="1" ht="18.75" spans="1:8">
      <c r="A94" s="6" t="s">
        <v>66</v>
      </c>
      <c r="B94" s="6" t="s">
        <v>3</v>
      </c>
      <c r="C94" s="6" t="s">
        <v>4</v>
      </c>
      <c r="D94" s="6" t="s">
        <v>5</v>
      </c>
      <c r="E94" s="6"/>
      <c r="F94" s="6"/>
      <c r="G94" s="6"/>
      <c r="H94" s="10" t="s">
        <v>6</v>
      </c>
    </row>
    <row r="95" s="1" customFormat="1" ht="18.75" spans="1:8">
      <c r="A95" s="6"/>
      <c r="B95" s="6"/>
      <c r="C95" s="6"/>
      <c r="D95" s="6" t="s">
        <v>7</v>
      </c>
      <c r="E95" s="6" t="s">
        <v>8</v>
      </c>
      <c r="F95" s="6"/>
      <c r="G95" s="6"/>
      <c r="H95" s="25"/>
    </row>
    <row r="96" s="1" customFormat="1" ht="75" spans="1:8">
      <c r="A96" s="6"/>
      <c r="B96" s="6"/>
      <c r="C96" s="6"/>
      <c r="D96" s="6"/>
      <c r="E96" s="6" t="s">
        <v>9</v>
      </c>
      <c r="F96" s="6" t="s">
        <v>67</v>
      </c>
      <c r="G96" s="6" t="s">
        <v>68</v>
      </c>
      <c r="H96" s="25"/>
    </row>
    <row r="97" s="1" customFormat="1" ht="18.75" spans="1:8">
      <c r="A97" s="14" t="str">
        <f t="shared" ref="A97:A100" si="38">VLOOKUP(B97,$B$6:$I$55,8,0)</f>
        <v>M025K3</v>
      </c>
      <c r="B97" s="13" t="s">
        <v>21</v>
      </c>
      <c r="C97" s="14">
        <f t="shared" ref="C97:C100" si="39">VLOOKUP($B$97:$B$100,$B$6:$I$50,2,0)</f>
        <v>1</v>
      </c>
      <c r="D97" s="14">
        <f t="shared" ref="D97:D100" si="40">VLOOKUP($B$97:$B$100,$B$6:$I$50,3,0)</f>
        <v>27</v>
      </c>
      <c r="E97" s="14">
        <f t="shared" ref="E97:E100" si="41">VLOOKUP($B$97:$B$100,$B$6:$I$50,4,0)</f>
        <v>10</v>
      </c>
      <c r="F97" s="14">
        <f t="shared" ref="F97:F100" si="42">VLOOKUP($B$97:$B$100,$B$6:$I$50,5,0)</f>
        <v>16</v>
      </c>
      <c r="G97" s="14">
        <f t="shared" ref="G97:G100" si="43">VLOOKUP($B$97:$B$100,$B$6:$I$50,6,0)</f>
        <v>1</v>
      </c>
      <c r="H97" s="14">
        <f t="shared" ref="H97:H100" si="44">VLOOKUP($B$97:$B$100,$B$6:$I$50,7,0)</f>
        <v>4</v>
      </c>
    </row>
    <row r="98" s="1" customFormat="1" ht="18.75" spans="1:8">
      <c r="A98" s="14" t="str">
        <f t="shared" si="38"/>
        <v>M095K8</v>
      </c>
      <c r="B98" s="16" t="s">
        <v>38</v>
      </c>
      <c r="C98" s="14">
        <f t="shared" si="39"/>
        <v>5</v>
      </c>
      <c r="D98" s="14">
        <f t="shared" si="40"/>
        <v>120</v>
      </c>
      <c r="E98" s="14">
        <f t="shared" si="41"/>
        <v>70</v>
      </c>
      <c r="F98" s="14">
        <f t="shared" si="42"/>
        <v>45</v>
      </c>
      <c r="G98" s="14">
        <f t="shared" si="43"/>
        <v>5</v>
      </c>
      <c r="H98" s="14">
        <f t="shared" si="44"/>
        <v>20</v>
      </c>
    </row>
    <row r="99" s="1" customFormat="1" ht="18.75" spans="1:8">
      <c r="A99" s="14" t="str">
        <f t="shared" si="38"/>
        <v>M105K8</v>
      </c>
      <c r="B99" s="16" t="s">
        <v>41</v>
      </c>
      <c r="C99" s="14">
        <f t="shared" si="39"/>
        <v>4</v>
      </c>
      <c r="D99" s="14">
        <f t="shared" si="40"/>
        <v>104</v>
      </c>
      <c r="E99" s="14">
        <f t="shared" si="41"/>
        <v>40</v>
      </c>
      <c r="F99" s="14">
        <f t="shared" si="42"/>
        <v>60</v>
      </c>
      <c r="G99" s="14">
        <f t="shared" si="43"/>
        <v>4</v>
      </c>
      <c r="H99" s="14">
        <f t="shared" si="44"/>
        <v>16</v>
      </c>
    </row>
    <row r="100" s="1" customFormat="1" ht="37.5" spans="1:8">
      <c r="A100" s="14" t="str">
        <f t="shared" si="38"/>
        <v>M109K8</v>
      </c>
      <c r="B100" s="27" t="s">
        <v>46</v>
      </c>
      <c r="C100" s="14">
        <f t="shared" si="39"/>
        <v>6</v>
      </c>
      <c r="D100" s="14">
        <f t="shared" si="40"/>
        <v>280</v>
      </c>
      <c r="E100" s="14">
        <f t="shared" si="41"/>
        <v>0</v>
      </c>
      <c r="F100" s="14">
        <f t="shared" si="42"/>
        <v>270</v>
      </c>
      <c r="G100" s="14">
        <f t="shared" si="43"/>
        <v>10</v>
      </c>
      <c r="H100" s="14">
        <f t="shared" si="44"/>
        <v>0</v>
      </c>
    </row>
    <row r="101" s="1" customFormat="1" ht="18.75" spans="1:8">
      <c r="A101" s="6" t="s">
        <v>69</v>
      </c>
      <c r="B101" s="6"/>
      <c r="C101" s="8">
        <f t="shared" ref="C101:H101" si="45">SUM(C97:C100)</f>
        <v>16</v>
      </c>
      <c r="D101" s="8">
        <f t="shared" si="45"/>
        <v>531</v>
      </c>
      <c r="E101" s="8">
        <f t="shared" si="45"/>
        <v>120</v>
      </c>
      <c r="F101" s="8">
        <f t="shared" si="45"/>
        <v>391</v>
      </c>
      <c r="G101" s="8">
        <f t="shared" si="45"/>
        <v>20</v>
      </c>
      <c r="H101" s="8">
        <f t="shared" si="45"/>
        <v>40</v>
      </c>
    </row>
    <row r="102" s="1" customFormat="1" ht="18.75" spans="1:8">
      <c r="A102" s="24"/>
      <c r="B102" s="24"/>
      <c r="C102" s="24"/>
      <c r="D102" s="24"/>
      <c r="E102" s="24"/>
      <c r="F102" s="24"/>
      <c r="G102" s="24"/>
      <c r="H102" s="24"/>
    </row>
    <row r="103" s="1" customFormat="1" ht="18.75" spans="1:8">
      <c r="A103" s="23" t="s">
        <v>73</v>
      </c>
      <c r="B103" s="23"/>
      <c r="C103" s="24"/>
      <c r="D103" s="24"/>
      <c r="E103" s="24"/>
      <c r="F103" s="24"/>
      <c r="G103" s="24"/>
      <c r="H103" s="24"/>
    </row>
    <row r="104" s="1" customFormat="1" ht="18.75" spans="1:8">
      <c r="A104" s="6" t="s">
        <v>66</v>
      </c>
      <c r="B104" s="6" t="s">
        <v>3</v>
      </c>
      <c r="C104" s="6" t="s">
        <v>4</v>
      </c>
      <c r="D104" s="6" t="s">
        <v>5</v>
      </c>
      <c r="E104" s="6"/>
      <c r="F104" s="6"/>
      <c r="G104" s="6"/>
      <c r="H104" s="10" t="s">
        <v>6</v>
      </c>
    </row>
    <row r="105" s="1" customFormat="1" ht="18.75" spans="1:8">
      <c r="A105" s="6"/>
      <c r="B105" s="6"/>
      <c r="C105" s="6"/>
      <c r="D105" s="6" t="s">
        <v>7</v>
      </c>
      <c r="E105" s="6" t="s">
        <v>8</v>
      </c>
      <c r="F105" s="6"/>
      <c r="G105" s="6"/>
      <c r="H105" s="25"/>
    </row>
    <row r="106" s="1" customFormat="1" ht="75" spans="1:8">
      <c r="A106" s="6"/>
      <c r="B106" s="6"/>
      <c r="C106" s="6"/>
      <c r="D106" s="6"/>
      <c r="E106" s="6" t="s">
        <v>9</v>
      </c>
      <c r="F106" s="6" t="s">
        <v>67</v>
      </c>
      <c r="G106" s="6" t="s">
        <v>68</v>
      </c>
      <c r="H106" s="25"/>
    </row>
    <row r="107" s="1" customFormat="1" ht="18.75" spans="1:8">
      <c r="A107" s="14" t="str">
        <f t="shared" ref="A107:A114" si="46">VLOOKUP(B107,$B$6:$I$55,8,0)</f>
        <v>M106K8</v>
      </c>
      <c r="B107" s="16" t="s">
        <v>42</v>
      </c>
      <c r="C107" s="14">
        <f t="shared" ref="C107:C114" si="47">VLOOKUP($B$107:$B$114,$B$6:$I$54,2,0)</f>
        <v>1</v>
      </c>
      <c r="D107" s="14">
        <f t="shared" ref="D107:D114" si="48">VLOOKUP($B$107:$B$114,$B$6:$I$54,3,0)</f>
        <v>16</v>
      </c>
      <c r="E107" s="14">
        <f t="shared" ref="E107:E114" si="49">VLOOKUP($B$107:$B$114,$B$6:$I$54,4,0)</f>
        <v>15</v>
      </c>
      <c r="F107" s="14">
        <f t="shared" ref="F107:F114" si="50">VLOOKUP($B$107:$B$114,$B$6:$I$54,5,0)</f>
        <v>0</v>
      </c>
      <c r="G107" s="14">
        <f t="shared" ref="G107:G114" si="51">VLOOKUP($B$107:$B$114,$B$6:$I$54,6,0)</f>
        <v>1</v>
      </c>
      <c r="H107" s="14">
        <f t="shared" ref="H107:H114" si="52">VLOOKUP($B$107:$B$114,$B$6:$I$54,7,0)</f>
        <v>4</v>
      </c>
    </row>
    <row r="108" s="1" customFormat="1" ht="18.75" spans="1:8">
      <c r="A108" s="14" t="str">
        <f t="shared" si="46"/>
        <v>M108K8</v>
      </c>
      <c r="B108" s="16" t="s">
        <v>44</v>
      </c>
      <c r="C108" s="14">
        <f t="shared" si="47"/>
        <v>2</v>
      </c>
      <c r="D108" s="14">
        <f t="shared" si="48"/>
        <v>32</v>
      </c>
      <c r="E108" s="14">
        <f t="shared" si="49"/>
        <v>30</v>
      </c>
      <c r="F108" s="14">
        <f t="shared" si="50"/>
        <v>0</v>
      </c>
      <c r="G108" s="14">
        <f t="shared" si="51"/>
        <v>2</v>
      </c>
      <c r="H108" s="14">
        <f t="shared" si="52"/>
        <v>8</v>
      </c>
    </row>
    <row r="109" s="1" customFormat="1" ht="18.75" spans="1:8">
      <c r="A109" s="14" t="str">
        <f t="shared" si="46"/>
        <v>M112K8</v>
      </c>
      <c r="B109" s="16" t="s">
        <v>49</v>
      </c>
      <c r="C109" s="14">
        <f t="shared" si="47"/>
        <v>2</v>
      </c>
      <c r="D109" s="14">
        <f t="shared" si="48"/>
        <v>32</v>
      </c>
      <c r="E109" s="14">
        <f t="shared" si="49"/>
        <v>30</v>
      </c>
      <c r="F109" s="14">
        <f t="shared" si="50"/>
        <v>0</v>
      </c>
      <c r="G109" s="14">
        <f t="shared" si="51"/>
        <v>2</v>
      </c>
      <c r="H109" s="14">
        <f t="shared" si="52"/>
        <v>8</v>
      </c>
    </row>
    <row r="110" s="1" customFormat="1" ht="18.75" spans="1:8">
      <c r="A110" s="14" t="str">
        <f t="shared" si="46"/>
        <v>M069K7</v>
      </c>
      <c r="B110" s="16" t="s">
        <v>50</v>
      </c>
      <c r="C110" s="14">
        <f t="shared" si="47"/>
        <v>2</v>
      </c>
      <c r="D110" s="14">
        <f t="shared" si="48"/>
        <v>40</v>
      </c>
      <c r="E110" s="14">
        <f t="shared" si="49"/>
        <v>22</v>
      </c>
      <c r="F110" s="14">
        <f t="shared" si="50"/>
        <v>16</v>
      </c>
      <c r="G110" s="14">
        <f t="shared" si="51"/>
        <v>2</v>
      </c>
      <c r="H110" s="14">
        <f t="shared" si="52"/>
        <v>8</v>
      </c>
    </row>
    <row r="111" s="1" customFormat="1" ht="18.75" spans="1:8">
      <c r="A111" s="14" t="str">
        <f t="shared" si="46"/>
        <v>M110K8</v>
      </c>
      <c r="B111" s="27" t="s">
        <v>47</v>
      </c>
      <c r="C111" s="14">
        <f t="shared" si="47"/>
        <v>2</v>
      </c>
      <c r="D111" s="14">
        <f t="shared" si="48"/>
        <v>32</v>
      </c>
      <c r="E111" s="14">
        <f t="shared" si="49"/>
        <v>30</v>
      </c>
      <c r="F111" s="14">
        <f t="shared" si="50"/>
        <v>0</v>
      </c>
      <c r="G111" s="14">
        <f t="shared" si="51"/>
        <v>2</v>
      </c>
      <c r="H111" s="14">
        <f t="shared" si="52"/>
        <v>8</v>
      </c>
    </row>
    <row r="112" s="1" customFormat="1" ht="18.75" spans="1:8">
      <c r="A112" s="14" t="str">
        <f t="shared" si="46"/>
        <v>M115K8</v>
      </c>
      <c r="B112" s="27" t="s">
        <v>53</v>
      </c>
      <c r="C112" s="14">
        <f t="shared" si="47"/>
        <v>2</v>
      </c>
      <c r="D112" s="14">
        <f t="shared" si="48"/>
        <v>32</v>
      </c>
      <c r="E112" s="14">
        <f t="shared" si="49"/>
        <v>30</v>
      </c>
      <c r="F112" s="14">
        <f t="shared" si="50"/>
        <v>0</v>
      </c>
      <c r="G112" s="14">
        <f t="shared" si="51"/>
        <v>2</v>
      </c>
      <c r="H112" s="14">
        <f t="shared" si="52"/>
        <v>8</v>
      </c>
    </row>
    <row r="113" s="1" customFormat="1" ht="18.75" spans="1:8">
      <c r="A113" s="14" t="str">
        <f t="shared" si="46"/>
        <v>M116K8</v>
      </c>
      <c r="B113" s="27" t="s">
        <v>54</v>
      </c>
      <c r="C113" s="14">
        <f t="shared" si="47"/>
        <v>2</v>
      </c>
      <c r="D113" s="14">
        <f t="shared" si="48"/>
        <v>45</v>
      </c>
      <c r="E113" s="14">
        <f t="shared" si="49"/>
        <v>15</v>
      </c>
      <c r="F113" s="14">
        <f t="shared" si="50"/>
        <v>28</v>
      </c>
      <c r="G113" s="14">
        <f t="shared" si="51"/>
        <v>2</v>
      </c>
      <c r="H113" s="14">
        <f t="shared" si="52"/>
        <v>8</v>
      </c>
    </row>
    <row r="114" s="1" customFormat="1" ht="37.5" spans="1:8">
      <c r="A114" s="14" t="str">
        <f t="shared" si="46"/>
        <v>M113K8</v>
      </c>
      <c r="B114" s="16" t="s">
        <v>51</v>
      </c>
      <c r="C114" s="14">
        <f t="shared" si="47"/>
        <v>3</v>
      </c>
      <c r="D114" s="14">
        <f t="shared" si="48"/>
        <v>135</v>
      </c>
      <c r="E114" s="14">
        <f t="shared" si="49"/>
        <v>0</v>
      </c>
      <c r="F114" s="14">
        <f t="shared" si="50"/>
        <v>130</v>
      </c>
      <c r="G114" s="14">
        <f t="shared" si="51"/>
        <v>5</v>
      </c>
      <c r="H114" s="14">
        <f t="shared" si="52"/>
        <v>0</v>
      </c>
    </row>
    <row r="115" s="1" customFormat="1" ht="18.75" spans="1:8">
      <c r="A115" s="6" t="s">
        <v>69</v>
      </c>
      <c r="B115" s="6"/>
      <c r="C115" s="8">
        <f t="shared" ref="C115:H115" si="53">SUM(C107:C114)</f>
        <v>16</v>
      </c>
      <c r="D115" s="8">
        <f t="shared" si="53"/>
        <v>364</v>
      </c>
      <c r="E115" s="8">
        <f t="shared" si="53"/>
        <v>172</v>
      </c>
      <c r="F115" s="8">
        <f t="shared" si="53"/>
        <v>174</v>
      </c>
      <c r="G115" s="8">
        <f t="shared" si="53"/>
        <v>18</v>
      </c>
      <c r="H115" s="8">
        <f t="shared" si="53"/>
        <v>52</v>
      </c>
    </row>
    <row r="116" s="1" customFormat="1" ht="18.75" spans="1:8">
      <c r="A116" s="24"/>
      <c r="B116" s="24"/>
      <c r="C116" s="24"/>
      <c r="D116" s="24"/>
      <c r="E116" s="24"/>
      <c r="F116" s="24"/>
      <c r="G116" s="24"/>
      <c r="H116" s="24"/>
    </row>
    <row r="117" s="1" customFormat="1" ht="18.75" spans="1:8">
      <c r="A117" s="23" t="s">
        <v>74</v>
      </c>
      <c r="B117" s="23"/>
      <c r="C117" s="24"/>
      <c r="D117" s="24"/>
      <c r="E117" s="24"/>
      <c r="F117" s="24"/>
      <c r="G117" s="24"/>
      <c r="H117" s="24"/>
    </row>
    <row r="118" s="1" customFormat="1" ht="18.75" spans="1:8">
      <c r="A118" s="6" t="s">
        <v>66</v>
      </c>
      <c r="B118" s="6" t="s">
        <v>3</v>
      </c>
      <c r="C118" s="6" t="s">
        <v>4</v>
      </c>
      <c r="D118" s="6" t="s">
        <v>5</v>
      </c>
      <c r="E118" s="6"/>
      <c r="F118" s="6"/>
      <c r="G118" s="6"/>
      <c r="H118" s="10" t="s">
        <v>6</v>
      </c>
    </row>
    <row r="119" s="1" customFormat="1" ht="18.75" spans="1:8">
      <c r="A119" s="6"/>
      <c r="B119" s="6"/>
      <c r="C119" s="6"/>
      <c r="D119" s="6" t="s">
        <v>7</v>
      </c>
      <c r="E119" s="6" t="s">
        <v>8</v>
      </c>
      <c r="F119" s="6"/>
      <c r="G119" s="6"/>
      <c r="H119" s="25"/>
    </row>
    <row r="120" s="1" customFormat="1" ht="75" spans="1:8">
      <c r="A120" s="6"/>
      <c r="B120" s="6"/>
      <c r="C120" s="6"/>
      <c r="D120" s="6"/>
      <c r="E120" s="6" t="s">
        <v>9</v>
      </c>
      <c r="F120" s="6" t="s">
        <v>67</v>
      </c>
      <c r="G120" s="6" t="s">
        <v>68</v>
      </c>
      <c r="H120" s="25"/>
    </row>
    <row r="121" s="1" customFormat="1" ht="18.75" spans="1:8">
      <c r="A121" s="14" t="str">
        <f t="shared" ref="A121:A125" si="54">VLOOKUP(B121,$B$6:$I$55,8,0)</f>
        <v>M111K8</v>
      </c>
      <c r="B121" s="16" t="s">
        <v>48</v>
      </c>
      <c r="C121" s="14">
        <f t="shared" ref="C121:C125" si="55">VLOOKUP($B$121:$B$126,$B$6:$I$55,2,0)</f>
        <v>2</v>
      </c>
      <c r="D121" s="14">
        <f t="shared" ref="D121:D125" si="56">VLOOKUP($B$121:$B$126,$B$6:$I$55,3,0)</f>
        <v>32</v>
      </c>
      <c r="E121" s="14">
        <f t="shared" ref="E121:E125" si="57">VLOOKUP($B$121:$B$126,$B$6:$I$55,4,0)</f>
        <v>30</v>
      </c>
      <c r="F121" s="14">
        <f t="shared" ref="F121:F125" si="58">VLOOKUP($B$121:$B$126,$B$6:$I$55,5,0)</f>
        <v>0</v>
      </c>
      <c r="G121" s="14">
        <f t="shared" ref="G121:G125" si="59">VLOOKUP($B$121:$B$126,$B$6:$I$55,6,0)</f>
        <v>2</v>
      </c>
      <c r="H121" s="14">
        <f t="shared" ref="H121:H125" si="60">VLOOKUP($B$121:$B$126,$B$6:$I$55,7,0)</f>
        <v>8</v>
      </c>
    </row>
    <row r="122" s="1" customFormat="1" ht="18.75" spans="1:8">
      <c r="A122" s="14" t="str">
        <f t="shared" si="54"/>
        <v>M107K8</v>
      </c>
      <c r="B122" s="16" t="s">
        <v>43</v>
      </c>
      <c r="C122" s="14">
        <f t="shared" si="55"/>
        <v>3</v>
      </c>
      <c r="D122" s="14">
        <f t="shared" si="56"/>
        <v>73</v>
      </c>
      <c r="E122" s="14">
        <f t="shared" si="57"/>
        <v>40</v>
      </c>
      <c r="F122" s="14">
        <f t="shared" si="58"/>
        <v>30</v>
      </c>
      <c r="G122" s="14">
        <f t="shared" si="59"/>
        <v>3</v>
      </c>
      <c r="H122" s="14">
        <f t="shared" si="60"/>
        <v>12</v>
      </c>
    </row>
    <row r="123" s="1" customFormat="1" ht="18.75" spans="1:8">
      <c r="A123" s="14" t="str">
        <f t="shared" si="54"/>
        <v>M117K8</v>
      </c>
      <c r="B123" s="16" t="s">
        <v>55</v>
      </c>
      <c r="C123" s="14">
        <f t="shared" si="55"/>
        <v>2</v>
      </c>
      <c r="D123" s="14">
        <f t="shared" si="56"/>
        <v>32</v>
      </c>
      <c r="E123" s="14">
        <f t="shared" si="57"/>
        <v>15</v>
      </c>
      <c r="F123" s="14">
        <f t="shared" si="58"/>
        <v>15</v>
      </c>
      <c r="G123" s="14">
        <f t="shared" si="59"/>
        <v>2</v>
      </c>
      <c r="H123" s="14">
        <f t="shared" si="60"/>
        <v>8</v>
      </c>
    </row>
    <row r="124" s="1" customFormat="1" ht="18.75" spans="1:8">
      <c r="A124" s="14" t="str">
        <f t="shared" si="54"/>
        <v>M114K8</v>
      </c>
      <c r="B124" s="16" t="s">
        <v>52</v>
      </c>
      <c r="C124" s="14">
        <f t="shared" si="55"/>
        <v>2</v>
      </c>
      <c r="D124" s="14">
        <f t="shared" si="56"/>
        <v>90</v>
      </c>
      <c r="E124" s="14">
        <f t="shared" si="57"/>
        <v>0</v>
      </c>
      <c r="F124" s="14">
        <f t="shared" si="58"/>
        <v>85</v>
      </c>
      <c r="G124" s="14">
        <f t="shared" si="59"/>
        <v>5</v>
      </c>
      <c r="H124" s="14">
        <f t="shared" si="60"/>
        <v>0</v>
      </c>
    </row>
    <row r="125" s="1" customFormat="1" ht="18.75" spans="1:8">
      <c r="A125" s="14" t="str">
        <f t="shared" si="54"/>
        <v>M093K8</v>
      </c>
      <c r="B125" s="16" t="s">
        <v>57</v>
      </c>
      <c r="C125" s="14">
        <f t="shared" si="55"/>
        <v>6</v>
      </c>
      <c r="D125" s="14">
        <f t="shared" si="56"/>
        <v>280</v>
      </c>
      <c r="E125" s="14">
        <f t="shared" si="57"/>
        <v>0</v>
      </c>
      <c r="F125" s="14">
        <f t="shared" si="58"/>
        <v>270</v>
      </c>
      <c r="G125" s="14">
        <f t="shared" si="59"/>
        <v>10</v>
      </c>
      <c r="H125" s="14">
        <f t="shared" si="60"/>
        <v>0</v>
      </c>
    </row>
    <row r="126" s="1" customFormat="1" ht="18.75" spans="1:8">
      <c r="A126" s="14"/>
      <c r="B126" s="28" t="s">
        <v>58</v>
      </c>
      <c r="C126" s="14"/>
      <c r="D126" s="14"/>
      <c r="E126" s="14"/>
      <c r="F126" s="14"/>
      <c r="G126" s="14"/>
      <c r="H126" s="14">
        <f>VLOOKUP($B$123:$B$131,$B$6:$I$55,7,0)</f>
        <v>90</v>
      </c>
    </row>
    <row r="127" s="1" customFormat="1" ht="18.75" spans="1:8">
      <c r="A127" s="6" t="s">
        <v>69</v>
      </c>
      <c r="B127" s="6"/>
      <c r="C127" s="8">
        <f t="shared" ref="C127:G127" si="61">SUM(C121:C125)</f>
        <v>15</v>
      </c>
      <c r="D127" s="8">
        <f t="shared" si="61"/>
        <v>507</v>
      </c>
      <c r="E127" s="8">
        <f t="shared" si="61"/>
        <v>85</v>
      </c>
      <c r="F127" s="8">
        <f t="shared" si="61"/>
        <v>400</v>
      </c>
      <c r="G127" s="8">
        <f t="shared" si="61"/>
        <v>22</v>
      </c>
      <c r="H127" s="8">
        <f>SUM(H121:H126)</f>
        <v>118</v>
      </c>
    </row>
    <row r="128" s="1" customFormat="1" ht="18.75" spans="1:8">
      <c r="A128" s="24"/>
      <c r="B128" s="24"/>
      <c r="C128" s="24"/>
      <c r="D128" s="24"/>
      <c r="E128" s="24"/>
      <c r="F128" s="24"/>
      <c r="G128" s="24"/>
      <c r="H128" s="24"/>
    </row>
    <row r="129" s="1" customFormat="1" ht="18.75" spans="1:8">
      <c r="A129" s="24"/>
      <c r="B129" s="24" t="s">
        <v>75</v>
      </c>
      <c r="C129" s="24">
        <f t="shared" ref="C129:H129" si="62">SUM(C65,C78,C91,C101,C115,C127)</f>
        <v>105</v>
      </c>
      <c r="D129" s="24">
        <f t="shared" si="62"/>
        <v>2810</v>
      </c>
      <c r="E129" s="24">
        <f t="shared" si="62"/>
        <v>1050</v>
      </c>
      <c r="F129" s="24">
        <f t="shared" si="62"/>
        <v>1621</v>
      </c>
      <c r="G129" s="24">
        <f t="shared" si="62"/>
        <v>139</v>
      </c>
      <c r="H129" s="24">
        <f t="shared" si="62"/>
        <v>442</v>
      </c>
    </row>
    <row r="130" s="1" customFormat="1" ht="18.75" spans="1:8">
      <c r="A130" s="24"/>
      <c r="B130" s="24" t="s">
        <v>76</v>
      </c>
      <c r="C130" s="24">
        <f t="shared" ref="C130:H130" si="63">C50</f>
        <v>105</v>
      </c>
      <c r="D130" s="24">
        <f t="shared" si="63"/>
        <v>2810</v>
      </c>
      <c r="E130" s="24">
        <f t="shared" si="63"/>
        <v>1050</v>
      </c>
      <c r="F130" s="24">
        <f t="shared" si="63"/>
        <v>1621</v>
      </c>
      <c r="G130" s="24">
        <f t="shared" si="63"/>
        <v>139</v>
      </c>
      <c r="H130" s="24">
        <f t="shared" si="63"/>
        <v>442</v>
      </c>
    </row>
    <row r="131" ht="15"/>
    <row r="132" s="1" customFormat="1" ht="18.75" spans="1:8">
      <c r="A132" s="29" t="s">
        <v>77</v>
      </c>
      <c r="B132" s="29"/>
      <c r="C132" s="29"/>
      <c r="D132" s="29"/>
      <c r="E132" s="29"/>
      <c r="F132" s="29"/>
    </row>
    <row r="133" s="1" customFormat="1" ht="18.75" spans="1:8">
      <c r="A133" s="30" t="s">
        <v>78</v>
      </c>
      <c r="B133" s="31" t="str">
        <f>VLOOKUP(A133,$A$7:$B$50,2,FALSE)</f>
        <v>Giáo dục chính trị</v>
      </c>
    </row>
    <row r="134" s="1" customFormat="1" ht="18.75" spans="1:8">
      <c r="A134" s="32" t="s">
        <v>79</v>
      </c>
      <c r="B134" s="32" t="s">
        <v>80</v>
      </c>
      <c r="C134" s="32" t="s">
        <v>81</v>
      </c>
      <c r="D134" s="32"/>
      <c r="E134" s="32"/>
      <c r="F134" s="32"/>
    </row>
    <row r="135" s="1" customFormat="1" ht="75" spans="1:8">
      <c r="A135" s="33"/>
      <c r="B135" s="33"/>
      <c r="C135" s="33" t="s">
        <v>7</v>
      </c>
      <c r="D135" s="33" t="s">
        <v>9</v>
      </c>
      <c r="E135" s="33" t="s">
        <v>82</v>
      </c>
      <c r="F135" s="33" t="s">
        <v>11</v>
      </c>
    </row>
    <row r="136" s="1" customFormat="1" ht="18.75" spans="1:8">
      <c r="A136" s="34">
        <v>1</v>
      </c>
      <c r="B136" s="35" t="s">
        <v>83</v>
      </c>
      <c r="C136" s="34">
        <v>2</v>
      </c>
      <c r="D136" s="34">
        <v>2</v>
      </c>
      <c r="E136" s="34"/>
      <c r="F136" s="34"/>
    </row>
    <row r="137" s="1" customFormat="1" ht="37.5" spans="1:8">
      <c r="A137" s="34">
        <v>2</v>
      </c>
      <c r="B137" s="35" t="s">
        <v>84</v>
      </c>
      <c r="C137" s="34">
        <v>13</v>
      </c>
      <c r="D137" s="34">
        <v>9</v>
      </c>
      <c r="E137" s="34">
        <v>4</v>
      </c>
      <c r="F137" s="34"/>
    </row>
    <row r="138" s="1" customFormat="1" ht="37.5" spans="1:8">
      <c r="A138" s="34">
        <v>3</v>
      </c>
      <c r="B138" s="35" t="s">
        <v>85</v>
      </c>
      <c r="C138" s="34">
        <v>13</v>
      </c>
      <c r="D138" s="34">
        <v>9</v>
      </c>
      <c r="E138" s="34">
        <v>4</v>
      </c>
      <c r="F138" s="34"/>
    </row>
    <row r="139" s="1" customFormat="1" ht="18.75" spans="1:8">
      <c r="A139" s="34"/>
      <c r="B139" s="35" t="s">
        <v>86</v>
      </c>
      <c r="C139" s="34">
        <v>2</v>
      </c>
      <c r="D139" s="34"/>
      <c r="E139" s="34"/>
      <c r="F139" s="34">
        <v>2</v>
      </c>
    </row>
    <row r="140" s="1" customFormat="1" ht="56.25" spans="1:8">
      <c r="A140" s="34">
        <v>4</v>
      </c>
      <c r="B140" s="35" t="s">
        <v>87</v>
      </c>
      <c r="C140" s="34">
        <v>5</v>
      </c>
      <c r="D140" s="34">
        <v>3</v>
      </c>
      <c r="E140" s="34">
        <v>2</v>
      </c>
      <c r="F140" s="34"/>
    </row>
    <row r="141" s="1" customFormat="1" ht="56.25" spans="1:8">
      <c r="A141" s="34">
        <v>5</v>
      </c>
      <c r="B141" s="35" t="s">
        <v>88</v>
      </c>
      <c r="C141" s="34">
        <v>5</v>
      </c>
      <c r="D141" s="34">
        <v>3</v>
      </c>
      <c r="E141" s="34">
        <v>2</v>
      </c>
      <c r="F141" s="34"/>
    </row>
    <row r="142" s="1" customFormat="1" ht="37.5" spans="1:8">
      <c r="A142" s="34">
        <v>6</v>
      </c>
      <c r="B142" s="35" t="s">
        <v>89</v>
      </c>
      <c r="C142" s="34">
        <v>10</v>
      </c>
      <c r="D142" s="34">
        <v>5</v>
      </c>
      <c r="E142" s="34">
        <v>5</v>
      </c>
      <c r="F142" s="34"/>
    </row>
    <row r="143" s="1" customFormat="1" ht="75" spans="1:8">
      <c r="A143" s="34">
        <v>7</v>
      </c>
      <c r="B143" s="35" t="s">
        <v>90</v>
      </c>
      <c r="C143" s="34">
        <v>6</v>
      </c>
      <c r="D143" s="34">
        <v>3</v>
      </c>
      <c r="E143" s="34">
        <v>3</v>
      </c>
      <c r="F143" s="34"/>
    </row>
    <row r="144" s="1" customFormat="1" ht="18.75" spans="1:8">
      <c r="A144" s="34"/>
      <c r="B144" s="35" t="s">
        <v>86</v>
      </c>
      <c r="C144" s="34">
        <v>2</v>
      </c>
      <c r="D144" s="34"/>
      <c r="E144" s="34"/>
      <c r="F144" s="34">
        <v>2</v>
      </c>
    </row>
    <row r="145" s="1" customFormat="1" ht="56.25" spans="1:6">
      <c r="A145" s="34">
        <v>8</v>
      </c>
      <c r="B145" s="35" t="s">
        <v>91</v>
      </c>
      <c r="C145" s="34">
        <v>7</v>
      </c>
      <c r="D145" s="34">
        <v>3</v>
      </c>
      <c r="E145" s="34">
        <v>4</v>
      </c>
      <c r="F145" s="34"/>
    </row>
    <row r="146" s="1" customFormat="1" ht="56.25" spans="1:6">
      <c r="A146" s="34">
        <v>9</v>
      </c>
      <c r="B146" s="35" t="s">
        <v>92</v>
      </c>
      <c r="C146" s="34">
        <v>6</v>
      </c>
      <c r="D146" s="34">
        <v>3</v>
      </c>
      <c r="E146" s="34">
        <v>3</v>
      </c>
      <c r="F146" s="34"/>
    </row>
    <row r="147" s="1" customFormat="1" ht="56.25" spans="1:6">
      <c r="A147" s="34">
        <v>10</v>
      </c>
      <c r="B147" s="35" t="s">
        <v>93</v>
      </c>
      <c r="C147" s="34">
        <v>3</v>
      </c>
      <c r="D147" s="34">
        <v>1</v>
      </c>
      <c r="E147" s="34">
        <v>2</v>
      </c>
      <c r="F147" s="34"/>
    </row>
    <row r="148" s="1" customFormat="1" ht="18.75" spans="1:6">
      <c r="A148" s="34"/>
      <c r="B148" s="35" t="s">
        <v>86</v>
      </c>
      <c r="C148" s="34">
        <v>1</v>
      </c>
      <c r="D148" s="34"/>
      <c r="E148" s="34"/>
      <c r="F148" s="34">
        <v>1</v>
      </c>
    </row>
    <row r="149" s="1" customFormat="1" ht="18.75" spans="1:6">
      <c r="A149" s="36"/>
      <c r="B149" s="37" t="s">
        <v>59</v>
      </c>
      <c r="C149" s="36">
        <f t="shared" ref="C149:F149" si="64">SUM(C136:C148)</f>
        <v>75</v>
      </c>
      <c r="D149" s="36">
        <f t="shared" si="64"/>
        <v>41</v>
      </c>
      <c r="E149" s="36">
        <f t="shared" si="64"/>
        <v>29</v>
      </c>
      <c r="F149" s="36">
        <f t="shared" si="64"/>
        <v>5</v>
      </c>
    </row>
    <row r="150" s="1" customFormat="1" ht="41.25" customHeight="1" spans="1:6">
      <c r="A150" s="38"/>
      <c r="B150" s="39" t="s">
        <v>94</v>
      </c>
      <c r="C150" s="40"/>
      <c r="D150" s="40"/>
      <c r="E150" s="40"/>
      <c r="F150" s="40"/>
    </row>
    <row r="151" s="1" customFormat="1" ht="18.75" spans="1:6">
      <c r="A151" s="30" t="s">
        <v>95</v>
      </c>
      <c r="B151" s="31" t="str">
        <f>VLOOKUP(A151,$A$7:$B$50,2,FALSE)</f>
        <v>Pháp luật</v>
      </c>
    </row>
    <row r="152" s="1" customFormat="1" ht="18.75" spans="1:6">
      <c r="A152" s="32" t="s">
        <v>79</v>
      </c>
      <c r="B152" s="32" t="s">
        <v>80</v>
      </c>
      <c r="C152" s="32" t="s">
        <v>81</v>
      </c>
      <c r="D152" s="32"/>
      <c r="E152" s="32"/>
      <c r="F152" s="32"/>
    </row>
    <row r="153" s="1" customFormat="1" ht="75" spans="1:6">
      <c r="A153" s="32"/>
      <c r="B153" s="32"/>
      <c r="C153" s="32" t="s">
        <v>7</v>
      </c>
      <c r="D153" s="32" t="s">
        <v>9</v>
      </c>
      <c r="E153" s="32" t="s">
        <v>82</v>
      </c>
      <c r="F153" s="32" t="s">
        <v>11</v>
      </c>
    </row>
    <row r="154" s="1" customFormat="1" ht="37.5" spans="1:6">
      <c r="A154" s="41">
        <v>1</v>
      </c>
      <c r="B154" s="42" t="s">
        <v>96</v>
      </c>
      <c r="C154" s="41">
        <v>2</v>
      </c>
      <c r="D154" s="41">
        <v>1</v>
      </c>
      <c r="E154" s="41">
        <v>1</v>
      </c>
      <c r="F154" s="6"/>
    </row>
    <row r="155" s="1" customFormat="1" ht="18.75" spans="1:6">
      <c r="A155" s="41">
        <v>2</v>
      </c>
      <c r="B155" s="42" t="s">
        <v>97</v>
      </c>
      <c r="C155" s="41">
        <v>2</v>
      </c>
      <c r="D155" s="41">
        <v>1</v>
      </c>
      <c r="E155" s="41">
        <v>1</v>
      </c>
      <c r="F155" s="6"/>
    </row>
    <row r="156" s="1" customFormat="1" ht="18.75" spans="1:6">
      <c r="A156" s="41">
        <v>3</v>
      </c>
      <c r="B156" s="42" t="s">
        <v>98</v>
      </c>
      <c r="C156" s="41">
        <v>5</v>
      </c>
      <c r="D156" s="41">
        <v>3</v>
      </c>
      <c r="E156" s="41">
        <v>2</v>
      </c>
      <c r="F156" s="6"/>
    </row>
    <row r="157" s="1" customFormat="1" ht="18.75" spans="1:6">
      <c r="A157" s="41">
        <v>4</v>
      </c>
      <c r="B157" s="42" t="s">
        <v>99</v>
      </c>
      <c r="C157" s="41">
        <v>7</v>
      </c>
      <c r="D157" s="41">
        <v>5</v>
      </c>
      <c r="E157" s="41">
        <v>2</v>
      </c>
      <c r="F157" s="6"/>
    </row>
    <row r="158" s="1" customFormat="1" ht="18.75" spans="1:6">
      <c r="A158" s="41">
        <v>5</v>
      </c>
      <c r="B158" s="42" t="s">
        <v>100</v>
      </c>
      <c r="C158" s="41">
        <v>4</v>
      </c>
      <c r="D158" s="41">
        <v>3</v>
      </c>
      <c r="E158" s="41">
        <v>1</v>
      </c>
      <c r="F158" s="6"/>
    </row>
    <row r="159" s="1" customFormat="1" ht="18.75" spans="1:6">
      <c r="A159" s="41">
        <v>6</v>
      </c>
      <c r="B159" s="42" t="s">
        <v>101</v>
      </c>
      <c r="C159" s="41">
        <v>5</v>
      </c>
      <c r="D159" s="41">
        <v>3</v>
      </c>
      <c r="E159" s="41">
        <v>2</v>
      </c>
      <c r="F159" s="6"/>
    </row>
    <row r="160" s="1" customFormat="1" ht="37.5" spans="1:6">
      <c r="A160" s="41">
        <v>7</v>
      </c>
      <c r="B160" s="42" t="s">
        <v>102</v>
      </c>
      <c r="C160" s="41">
        <v>2</v>
      </c>
      <c r="D160" s="41">
        <v>1</v>
      </c>
      <c r="E160" s="41">
        <v>1</v>
      </c>
      <c r="F160" s="6"/>
    </row>
    <row r="161" s="1" customFormat="1" ht="37.5" spans="1:6">
      <c r="A161" s="41">
        <v>8</v>
      </c>
      <c r="B161" s="42" t="s">
        <v>103</v>
      </c>
      <c r="C161" s="41">
        <v>1</v>
      </c>
      <c r="D161" s="41">
        <v>1</v>
      </c>
      <c r="E161" s="6"/>
      <c r="F161" s="6"/>
    </row>
    <row r="162" s="1" customFormat="1" ht="18.75" spans="1:6">
      <c r="A162" s="41"/>
      <c r="B162" s="42" t="s">
        <v>86</v>
      </c>
      <c r="C162" s="41">
        <v>2</v>
      </c>
      <c r="D162" s="41"/>
      <c r="E162" s="6"/>
      <c r="F162" s="6">
        <v>2</v>
      </c>
    </row>
    <row r="163" s="1" customFormat="1" ht="18.75" spans="1:6">
      <c r="A163" s="43"/>
      <c r="B163" s="7" t="s">
        <v>69</v>
      </c>
      <c r="C163" s="7">
        <f t="shared" ref="C163:F163" si="65">SUM(C154:C162)</f>
        <v>30</v>
      </c>
      <c r="D163" s="7">
        <f t="shared" si="65"/>
        <v>18</v>
      </c>
      <c r="E163" s="7">
        <f t="shared" si="65"/>
        <v>10</v>
      </c>
      <c r="F163" s="7">
        <f t="shared" si="65"/>
        <v>2</v>
      </c>
    </row>
    <row r="164" s="1" customFormat="1" ht="39" customHeight="1" spans="1:6">
      <c r="A164" s="44"/>
      <c r="B164" s="39" t="s">
        <v>94</v>
      </c>
      <c r="C164" s="40"/>
      <c r="D164" s="40"/>
      <c r="E164" s="40"/>
      <c r="F164" s="40"/>
    </row>
    <row r="165" s="1" customFormat="1" ht="18.75" spans="1:6">
      <c r="A165" s="44" t="s">
        <v>104</v>
      </c>
      <c r="B165" s="31" t="str">
        <f>VLOOKUP(A165,$A$7:$B$50,2,FALSE)</f>
        <v>Giáo dục thể chất</v>
      </c>
      <c r="C165" s="45"/>
      <c r="D165" s="45"/>
      <c r="E165" s="45"/>
      <c r="F165" s="45"/>
    </row>
    <row r="166" s="1" customFormat="1" ht="18.75" spans="1:6">
      <c r="A166" s="46" t="s">
        <v>79</v>
      </c>
      <c r="B166" s="46" t="s">
        <v>80</v>
      </c>
      <c r="C166" s="46" t="s">
        <v>81</v>
      </c>
      <c r="D166" s="46"/>
      <c r="E166" s="46"/>
      <c r="F166" s="46"/>
    </row>
    <row r="167" s="1" customFormat="1" ht="75" spans="1:6">
      <c r="A167" s="47"/>
      <c r="B167" s="47"/>
      <c r="C167" s="47" t="s">
        <v>7</v>
      </c>
      <c r="D167" s="47" t="s">
        <v>9</v>
      </c>
      <c r="E167" s="47" t="s">
        <v>82</v>
      </c>
      <c r="F167" s="47" t="s">
        <v>11</v>
      </c>
    </row>
    <row r="168" s="1" customFormat="1" ht="37.5" spans="1:6">
      <c r="A168" s="6" t="s">
        <v>12</v>
      </c>
      <c r="B168" s="48" t="s">
        <v>105</v>
      </c>
      <c r="C168" s="48"/>
      <c r="D168" s="48"/>
      <c r="E168" s="48"/>
      <c r="F168" s="48"/>
    </row>
    <row r="169" s="1" customFormat="1" ht="18.75" spans="1:6">
      <c r="A169" s="41">
        <v>1</v>
      </c>
      <c r="B169" s="49" t="s">
        <v>106</v>
      </c>
      <c r="C169" s="50">
        <v>2</v>
      </c>
      <c r="D169" s="50">
        <v>2</v>
      </c>
      <c r="E169" s="50"/>
      <c r="F169" s="50"/>
    </row>
    <row r="170" s="1" customFormat="1" ht="18.75" spans="1:6">
      <c r="A170" s="41">
        <v>2</v>
      </c>
      <c r="B170" s="49" t="s">
        <v>107</v>
      </c>
      <c r="C170" s="50">
        <v>4</v>
      </c>
      <c r="D170" s="50"/>
      <c r="E170" s="50">
        <v>4</v>
      </c>
      <c r="F170" s="51"/>
    </row>
    <row r="171" s="1" customFormat="1" ht="18.75" spans="1:6">
      <c r="A171" s="41">
        <v>3</v>
      </c>
      <c r="B171" s="49" t="s">
        <v>108</v>
      </c>
      <c r="C171" s="50">
        <v>4</v>
      </c>
      <c r="D171" s="50"/>
      <c r="E171" s="50">
        <v>4</v>
      </c>
      <c r="F171" s="50"/>
    </row>
    <row r="172" s="1" customFormat="1" ht="18.75" spans="1:6">
      <c r="A172" s="41">
        <v>4</v>
      </c>
      <c r="B172" s="49" t="s">
        <v>109</v>
      </c>
      <c r="C172" s="50">
        <v>4</v>
      </c>
      <c r="D172" s="50"/>
      <c r="E172" s="50">
        <v>4</v>
      </c>
      <c r="F172" s="51"/>
    </row>
    <row r="173" s="1" customFormat="1" ht="18.75" spans="1:6">
      <c r="A173" s="41">
        <v>5</v>
      </c>
      <c r="B173" s="49" t="s">
        <v>110</v>
      </c>
      <c r="C173" s="50">
        <v>8</v>
      </c>
      <c r="D173" s="50"/>
      <c r="E173" s="50">
        <v>8</v>
      </c>
      <c r="F173" s="50"/>
    </row>
    <row r="174" s="1" customFormat="1" ht="18.75" spans="1:6">
      <c r="A174" s="41">
        <v>6</v>
      </c>
      <c r="B174" s="49" t="s">
        <v>111</v>
      </c>
      <c r="C174" s="50">
        <v>4</v>
      </c>
      <c r="D174" s="50"/>
      <c r="E174" s="50">
        <v>4</v>
      </c>
      <c r="F174" s="50"/>
    </row>
    <row r="175" s="1" customFormat="1" ht="18.75" spans="1:6">
      <c r="A175" s="41"/>
      <c r="B175" s="49" t="s">
        <v>112</v>
      </c>
      <c r="C175" s="50">
        <v>2</v>
      </c>
      <c r="D175" s="52"/>
      <c r="E175" s="52"/>
      <c r="F175" s="50">
        <v>2</v>
      </c>
    </row>
    <row r="176" s="1" customFormat="1" ht="37.5" spans="1:6">
      <c r="A176" s="6" t="s">
        <v>22</v>
      </c>
      <c r="B176" s="48" t="s">
        <v>113</v>
      </c>
      <c r="C176" s="48"/>
      <c r="D176" s="48"/>
      <c r="E176" s="48"/>
      <c r="F176" s="48"/>
    </row>
    <row r="177" s="1" customFormat="1" ht="18.75" spans="1:6">
      <c r="A177" s="41">
        <v>7</v>
      </c>
      <c r="B177" s="49" t="s">
        <v>114</v>
      </c>
      <c r="C177" s="50">
        <v>15</v>
      </c>
      <c r="D177" s="50"/>
      <c r="E177" s="50">
        <v>15</v>
      </c>
      <c r="F177" s="52"/>
    </row>
    <row r="178" s="1" customFormat="1" ht="18.75" spans="1:6">
      <c r="A178" s="41">
        <v>8</v>
      </c>
      <c r="B178" s="49" t="s">
        <v>115</v>
      </c>
      <c r="C178" s="50">
        <v>15</v>
      </c>
      <c r="D178" s="50"/>
      <c r="E178" s="50">
        <v>15</v>
      </c>
      <c r="F178" s="50"/>
    </row>
    <row r="179" s="1" customFormat="1" ht="18.75" spans="1:6">
      <c r="A179" s="6"/>
      <c r="B179" s="49" t="s">
        <v>116</v>
      </c>
      <c r="C179" s="50">
        <v>2</v>
      </c>
      <c r="D179" s="50"/>
      <c r="E179" s="50"/>
      <c r="F179" s="50">
        <v>2</v>
      </c>
    </row>
    <row r="180" s="1" customFormat="1" ht="18.75" spans="1:6">
      <c r="A180" s="53"/>
      <c r="B180" s="6" t="s">
        <v>69</v>
      </c>
      <c r="C180" s="6">
        <f t="shared" ref="C180:F180" si="66">SUM(C169:C175,C177:C179)</f>
        <v>60</v>
      </c>
      <c r="D180" s="6">
        <f t="shared" si="66"/>
        <v>2</v>
      </c>
      <c r="E180" s="6">
        <f t="shared" si="66"/>
        <v>54</v>
      </c>
      <c r="F180" s="6">
        <f t="shared" si="66"/>
        <v>4</v>
      </c>
    </row>
    <row r="181" s="1" customFormat="1" ht="34.5" customHeight="1" spans="1:6">
      <c r="A181" s="45"/>
      <c r="B181" s="40" t="s">
        <v>117</v>
      </c>
      <c r="C181" s="40"/>
      <c r="D181" s="40"/>
      <c r="E181" s="40"/>
      <c r="F181" s="40"/>
    </row>
    <row r="182" s="1" customFormat="1" ht="18.75" spans="1:6">
      <c r="A182" s="44" t="s">
        <v>118</v>
      </c>
      <c r="B182" s="31" t="str">
        <f>VLOOKUP(A182,$A$7:$B$50,2,FALSE)</f>
        <v>Giáo dục quốc phòng và An ninh</v>
      </c>
      <c r="C182" s="45"/>
      <c r="D182" s="45"/>
      <c r="E182" s="45"/>
      <c r="F182" s="45"/>
    </row>
    <row r="183" s="1" customFormat="1" ht="18.75" spans="1:6">
      <c r="A183" s="46" t="s">
        <v>79</v>
      </c>
      <c r="B183" s="46" t="s">
        <v>80</v>
      </c>
      <c r="C183" s="46" t="s">
        <v>81</v>
      </c>
      <c r="D183" s="46"/>
      <c r="E183" s="46"/>
      <c r="F183" s="46"/>
    </row>
    <row r="184" s="1" customFormat="1" ht="75" spans="1:6">
      <c r="A184" s="47"/>
      <c r="B184" s="47"/>
      <c r="C184" s="47" t="s">
        <v>7</v>
      </c>
      <c r="D184" s="47" t="s">
        <v>9</v>
      </c>
      <c r="E184" s="47" t="s">
        <v>82</v>
      </c>
      <c r="F184" s="47" t="s">
        <v>11</v>
      </c>
    </row>
    <row r="185" s="1" customFormat="1" ht="37.5" spans="1:6">
      <c r="A185" s="14">
        <v>1</v>
      </c>
      <c r="B185" s="54" t="s">
        <v>119</v>
      </c>
      <c r="C185" s="14">
        <v>2</v>
      </c>
      <c r="D185" s="14">
        <v>2</v>
      </c>
      <c r="E185" s="55"/>
      <c r="F185" s="55"/>
    </row>
    <row r="186" s="1" customFormat="1" ht="56.25" spans="1:6">
      <c r="A186" s="14">
        <v>2</v>
      </c>
      <c r="B186" s="54" t="s">
        <v>120</v>
      </c>
      <c r="C186" s="14">
        <v>4</v>
      </c>
      <c r="D186" s="14">
        <v>3</v>
      </c>
      <c r="E186" s="14">
        <v>1</v>
      </c>
      <c r="F186" s="55"/>
    </row>
    <row r="187" s="1" customFormat="1" ht="37.5" spans="1:6">
      <c r="A187" s="14">
        <v>3</v>
      </c>
      <c r="B187" s="54" t="s">
        <v>121</v>
      </c>
      <c r="C187" s="14">
        <v>4</v>
      </c>
      <c r="D187" s="14">
        <v>3</v>
      </c>
      <c r="E187" s="14">
        <v>1</v>
      </c>
      <c r="F187" s="55"/>
    </row>
    <row r="188" s="1" customFormat="1" ht="37.5" spans="1:6">
      <c r="A188" s="14">
        <v>4</v>
      </c>
      <c r="B188" s="54" t="s">
        <v>122</v>
      </c>
      <c r="C188" s="14">
        <v>4</v>
      </c>
      <c r="D188" s="14">
        <v>3</v>
      </c>
      <c r="E188" s="14">
        <v>1</v>
      </c>
      <c r="F188" s="55"/>
    </row>
    <row r="189" s="1" customFormat="1" ht="37.5" spans="1:6">
      <c r="A189" s="14">
        <v>5</v>
      </c>
      <c r="B189" s="54" t="s">
        <v>123</v>
      </c>
      <c r="C189" s="14">
        <v>4</v>
      </c>
      <c r="D189" s="14">
        <v>3</v>
      </c>
      <c r="E189" s="14">
        <v>1</v>
      </c>
      <c r="F189" s="55"/>
    </row>
    <row r="190" s="1" customFormat="1" ht="56.25" spans="1:6">
      <c r="A190" s="14">
        <v>6</v>
      </c>
      <c r="B190" s="54" t="s">
        <v>124</v>
      </c>
      <c r="C190" s="14">
        <v>4</v>
      </c>
      <c r="D190" s="14">
        <v>2</v>
      </c>
      <c r="E190" s="14">
        <v>2</v>
      </c>
      <c r="F190" s="55"/>
    </row>
    <row r="191" s="1" customFormat="1" ht="18.75" spans="1:6">
      <c r="A191" s="14"/>
      <c r="B191" s="54" t="s">
        <v>86</v>
      </c>
      <c r="C191" s="14">
        <v>2</v>
      </c>
      <c r="D191" s="55"/>
      <c r="E191" s="55"/>
      <c r="F191" s="14">
        <v>2</v>
      </c>
    </row>
    <row r="192" s="1" customFormat="1" ht="75" spans="1:6">
      <c r="A192" s="14">
        <v>7</v>
      </c>
      <c r="B192" s="54" t="s">
        <v>125</v>
      </c>
      <c r="C192" s="14">
        <v>5</v>
      </c>
      <c r="D192" s="14">
        <v>3</v>
      </c>
      <c r="E192" s="14">
        <v>2</v>
      </c>
      <c r="F192" s="55"/>
    </row>
    <row r="193" s="1" customFormat="1" ht="37.5" spans="1:8">
      <c r="A193" s="14">
        <v>8</v>
      </c>
      <c r="B193" s="54" t="s">
        <v>126</v>
      </c>
      <c r="C193" s="14">
        <v>5</v>
      </c>
      <c r="D193" s="14">
        <v>3</v>
      </c>
      <c r="E193" s="14">
        <v>2</v>
      </c>
      <c r="F193" s="55"/>
    </row>
    <row r="194" s="1" customFormat="1" ht="37.5" spans="1:8">
      <c r="A194" s="14">
        <v>9</v>
      </c>
      <c r="B194" s="54" t="s">
        <v>127</v>
      </c>
      <c r="C194" s="14">
        <v>5</v>
      </c>
      <c r="D194" s="14">
        <v>3</v>
      </c>
      <c r="E194" s="14">
        <v>2</v>
      </c>
      <c r="F194" s="55"/>
    </row>
    <row r="195" s="1" customFormat="1" ht="56.25" spans="1:8">
      <c r="A195" s="14">
        <v>10</v>
      </c>
      <c r="B195" s="54" t="s">
        <v>128</v>
      </c>
      <c r="C195" s="14">
        <v>5</v>
      </c>
      <c r="D195" s="14">
        <v>3</v>
      </c>
      <c r="E195" s="14">
        <v>2</v>
      </c>
      <c r="F195" s="55"/>
    </row>
    <row r="196" s="1" customFormat="1" ht="18.75" spans="1:8">
      <c r="A196" s="14">
        <v>11</v>
      </c>
      <c r="B196" s="54" t="s">
        <v>129</v>
      </c>
      <c r="C196" s="14">
        <v>4</v>
      </c>
      <c r="D196" s="14">
        <v>1</v>
      </c>
      <c r="E196" s="14">
        <v>3</v>
      </c>
      <c r="F196" s="55"/>
    </row>
    <row r="197" s="1" customFormat="1" ht="56.25" spans="1:8">
      <c r="A197" s="14">
        <v>12</v>
      </c>
      <c r="B197" s="54" t="s">
        <v>130</v>
      </c>
      <c r="C197" s="14">
        <v>19</v>
      </c>
      <c r="D197" s="14">
        <v>4</v>
      </c>
      <c r="E197" s="14">
        <v>15</v>
      </c>
      <c r="F197" s="55"/>
    </row>
    <row r="198" s="1" customFormat="1" ht="37.5" spans="1:8">
      <c r="A198" s="14">
        <v>13</v>
      </c>
      <c r="B198" s="54" t="s">
        <v>131</v>
      </c>
      <c r="C198" s="14">
        <v>6</v>
      </c>
      <c r="D198" s="14">
        <v>1</v>
      </c>
      <c r="E198" s="14">
        <v>5</v>
      </c>
      <c r="F198" s="14" t="s">
        <v>132</v>
      </c>
    </row>
    <row r="199" s="1" customFormat="1" ht="18.75" spans="1:8">
      <c r="A199" s="55"/>
      <c r="B199" s="54" t="s">
        <v>133</v>
      </c>
      <c r="C199" s="14">
        <v>2</v>
      </c>
      <c r="D199" s="14"/>
      <c r="E199" s="14"/>
      <c r="F199" s="14">
        <v>2</v>
      </c>
    </row>
    <row r="200" s="1" customFormat="1" ht="18.75" spans="1:8">
      <c r="A200" s="55"/>
      <c r="B200" s="10" t="s">
        <v>69</v>
      </c>
      <c r="C200" s="10">
        <f t="shared" ref="C200:F200" si="67">SUM(C185:C199)</f>
        <v>75</v>
      </c>
      <c r="D200" s="10">
        <f t="shared" si="67"/>
        <v>34</v>
      </c>
      <c r="E200" s="10">
        <f t="shared" si="67"/>
        <v>37</v>
      </c>
      <c r="F200" s="10">
        <f t="shared" si="67"/>
        <v>4</v>
      </c>
    </row>
    <row r="201" s="1" customFormat="1" ht="34.5" customHeight="1" spans="1:8">
      <c r="A201" s="45"/>
      <c r="B201" s="40" t="s">
        <v>117</v>
      </c>
      <c r="C201" s="40"/>
      <c r="D201" s="40"/>
      <c r="E201" s="40"/>
      <c r="F201" s="40"/>
    </row>
    <row r="202" s="1" customFormat="1" ht="18.75" spans="1:8">
      <c r="A202" s="44" t="s">
        <v>134</v>
      </c>
      <c r="B202" s="31" t="str">
        <f>VLOOKUP(A202,$A$7:$B$50,2,FALSE)</f>
        <v>Tiếng Anh cơ bản</v>
      </c>
      <c r="C202" s="45"/>
      <c r="D202" s="45"/>
      <c r="E202" s="45"/>
      <c r="F202" s="45"/>
      <c r="H202" s="31"/>
    </row>
    <row r="203" s="1" customFormat="1" ht="18.75" spans="1:8">
      <c r="A203" s="46" t="s">
        <v>79</v>
      </c>
      <c r="B203" s="46" t="s">
        <v>80</v>
      </c>
      <c r="C203" s="46" t="s">
        <v>81</v>
      </c>
      <c r="D203" s="46"/>
      <c r="E203" s="46"/>
      <c r="F203" s="46"/>
    </row>
    <row r="204" s="1" customFormat="1" ht="75" spans="1:8">
      <c r="A204" s="47"/>
      <c r="B204" s="47"/>
      <c r="C204" s="47" t="s">
        <v>7</v>
      </c>
      <c r="D204" s="47" t="s">
        <v>9</v>
      </c>
      <c r="E204" s="47" t="s">
        <v>82</v>
      </c>
      <c r="F204" s="47" t="s">
        <v>11</v>
      </c>
    </row>
    <row r="205" s="1" customFormat="1" ht="18.75" spans="1:8">
      <c r="A205" s="48"/>
      <c r="B205" s="48"/>
      <c r="C205" s="48"/>
      <c r="D205" s="6" t="s">
        <v>135</v>
      </c>
      <c r="E205" s="48"/>
      <c r="F205" s="48"/>
    </row>
    <row r="206" s="1" customFormat="1" ht="18.75" spans="1:8">
      <c r="A206" s="56">
        <v>1</v>
      </c>
      <c r="B206" s="57" t="s">
        <v>136</v>
      </c>
      <c r="C206" s="56">
        <v>10</v>
      </c>
      <c r="D206" s="56">
        <v>3</v>
      </c>
      <c r="E206" s="56">
        <v>7</v>
      </c>
      <c r="F206" s="56"/>
    </row>
    <row r="207" s="1" customFormat="1" ht="18.75" spans="1:8">
      <c r="A207" s="56"/>
      <c r="B207" s="57" t="s">
        <v>137</v>
      </c>
      <c r="C207" s="56"/>
      <c r="D207" s="56"/>
      <c r="E207" s="56"/>
      <c r="F207" s="56"/>
    </row>
    <row r="208" s="1" customFormat="1" ht="18.75" spans="1:8">
      <c r="A208" s="56"/>
      <c r="B208" s="57" t="s">
        <v>138</v>
      </c>
      <c r="C208" s="56"/>
      <c r="D208" s="56"/>
      <c r="E208" s="56"/>
      <c r="F208" s="56"/>
    </row>
    <row r="209" s="1" customFormat="1" ht="18.75" spans="1:6">
      <c r="A209" s="56"/>
      <c r="B209" s="57" t="s">
        <v>139</v>
      </c>
      <c r="C209" s="56"/>
      <c r="D209" s="56"/>
      <c r="E209" s="56"/>
      <c r="F209" s="56"/>
    </row>
    <row r="210" s="1" customFormat="1" ht="18.75" spans="1:6">
      <c r="A210" s="56"/>
      <c r="B210" s="57" t="s">
        <v>140</v>
      </c>
      <c r="C210" s="56"/>
      <c r="D210" s="56"/>
      <c r="E210" s="56"/>
      <c r="F210" s="56"/>
    </row>
    <row r="211" s="1" customFormat="1" ht="18.75" spans="1:6">
      <c r="A211" s="56"/>
      <c r="B211" s="57" t="s">
        <v>141</v>
      </c>
      <c r="C211" s="56"/>
      <c r="D211" s="56"/>
      <c r="E211" s="56"/>
      <c r="F211" s="56"/>
    </row>
    <row r="212" s="1" customFormat="1" ht="18.75" spans="1:6">
      <c r="A212" s="56"/>
      <c r="B212" s="57" t="s">
        <v>142</v>
      </c>
      <c r="C212" s="56"/>
      <c r="D212" s="56"/>
      <c r="E212" s="56"/>
      <c r="F212" s="56"/>
    </row>
    <row r="213" s="1" customFormat="1" ht="18.75" spans="1:6">
      <c r="A213" s="56"/>
      <c r="B213" s="57" t="s">
        <v>143</v>
      </c>
      <c r="C213" s="56"/>
      <c r="D213" s="56"/>
      <c r="E213" s="56"/>
      <c r="F213" s="56"/>
    </row>
    <row r="214" s="1" customFormat="1" ht="18.75" spans="1:6">
      <c r="A214" s="56"/>
      <c r="B214" s="57" t="s">
        <v>144</v>
      </c>
      <c r="C214" s="56"/>
      <c r="D214" s="56"/>
      <c r="E214" s="56"/>
      <c r="F214" s="56"/>
    </row>
    <row r="215" s="1" customFormat="1" ht="18.75" spans="1:6">
      <c r="A215" s="56"/>
      <c r="B215" s="57" t="s">
        <v>145</v>
      </c>
      <c r="C215" s="56"/>
      <c r="D215" s="56"/>
      <c r="E215" s="56"/>
      <c r="F215" s="56"/>
    </row>
    <row r="216" s="1" customFormat="1" ht="18.75" spans="1:6">
      <c r="A216" s="56"/>
      <c r="B216" s="57" t="s">
        <v>146</v>
      </c>
      <c r="C216" s="56"/>
      <c r="D216" s="56"/>
      <c r="E216" s="56"/>
      <c r="F216" s="56"/>
    </row>
    <row r="217" s="1" customFormat="1" ht="18.75" spans="1:6">
      <c r="A217" s="56"/>
      <c r="B217" s="57" t="s">
        <v>147</v>
      </c>
      <c r="C217" s="56"/>
      <c r="D217" s="56"/>
      <c r="E217" s="56"/>
      <c r="F217" s="56"/>
    </row>
    <row r="218" s="1" customFormat="1" ht="18.75" spans="1:6">
      <c r="A218" s="56">
        <v>2</v>
      </c>
      <c r="B218" s="42" t="s">
        <v>148</v>
      </c>
      <c r="C218" s="56">
        <v>10</v>
      </c>
      <c r="D218" s="56">
        <v>3</v>
      </c>
      <c r="E218" s="56">
        <v>7</v>
      </c>
      <c r="F218" s="41"/>
    </row>
    <row r="219" s="1" customFormat="1" ht="18.75" spans="1:6">
      <c r="A219" s="56"/>
      <c r="B219" s="57" t="s">
        <v>137</v>
      </c>
      <c r="C219" s="56"/>
      <c r="D219" s="56"/>
      <c r="E219" s="56"/>
      <c r="F219" s="56"/>
    </row>
    <row r="220" s="1" customFormat="1" ht="18.75" spans="1:6">
      <c r="A220" s="56"/>
      <c r="B220" s="57" t="s">
        <v>149</v>
      </c>
      <c r="C220" s="56"/>
      <c r="D220" s="56"/>
      <c r="E220" s="56"/>
      <c r="F220" s="56"/>
    </row>
    <row r="221" s="1" customFormat="1" ht="18.75" spans="1:6">
      <c r="A221" s="56"/>
      <c r="B221" s="57" t="s">
        <v>150</v>
      </c>
      <c r="C221" s="56"/>
      <c r="D221" s="56"/>
      <c r="E221" s="56"/>
      <c r="F221" s="56"/>
    </row>
    <row r="222" s="1" customFormat="1" ht="18.75" spans="1:6">
      <c r="A222" s="56"/>
      <c r="B222" s="57" t="s">
        <v>140</v>
      </c>
      <c r="C222" s="56"/>
      <c r="D222" s="56"/>
      <c r="E222" s="56"/>
      <c r="F222" s="56"/>
    </row>
    <row r="223" s="1" customFormat="1" ht="18.75" spans="1:6">
      <c r="A223" s="56"/>
      <c r="B223" s="57" t="s">
        <v>151</v>
      </c>
      <c r="C223" s="56"/>
      <c r="D223" s="56"/>
      <c r="E223" s="56"/>
      <c r="F223" s="56"/>
    </row>
    <row r="224" s="1" customFormat="1" ht="18.75" spans="1:6">
      <c r="A224" s="56"/>
      <c r="B224" s="57" t="s">
        <v>152</v>
      </c>
      <c r="C224" s="56"/>
      <c r="D224" s="56"/>
      <c r="E224" s="56"/>
      <c r="F224" s="56"/>
    </row>
    <row r="225" s="1" customFormat="1" ht="18.75" spans="1:6">
      <c r="A225" s="56"/>
      <c r="B225" s="57" t="s">
        <v>143</v>
      </c>
      <c r="C225" s="56"/>
      <c r="D225" s="56"/>
      <c r="E225" s="56"/>
      <c r="F225" s="56"/>
    </row>
    <row r="226" s="1" customFormat="1" ht="18.75" spans="1:6">
      <c r="A226" s="56"/>
      <c r="B226" s="57" t="s">
        <v>144</v>
      </c>
      <c r="C226" s="56"/>
      <c r="D226" s="56"/>
      <c r="E226" s="56"/>
      <c r="F226" s="56"/>
    </row>
    <row r="227" s="1" customFormat="1" ht="18.75" spans="1:6">
      <c r="A227" s="56"/>
      <c r="B227" s="57" t="s">
        <v>145</v>
      </c>
      <c r="C227" s="56"/>
      <c r="D227" s="56"/>
      <c r="E227" s="56"/>
      <c r="F227" s="56"/>
    </row>
    <row r="228" s="1" customFormat="1" ht="18.75" spans="1:6">
      <c r="A228" s="56"/>
      <c r="B228" s="57" t="s">
        <v>146</v>
      </c>
      <c r="C228" s="56"/>
      <c r="D228" s="56"/>
      <c r="E228" s="56"/>
      <c r="F228" s="56"/>
    </row>
    <row r="229" s="1" customFormat="1" ht="18.75" spans="1:6">
      <c r="A229" s="56"/>
      <c r="B229" s="57" t="s">
        <v>147</v>
      </c>
      <c r="C229" s="56"/>
      <c r="D229" s="56"/>
      <c r="E229" s="56"/>
      <c r="F229" s="56"/>
    </row>
    <row r="230" s="1" customFormat="1" ht="18.75" spans="1:6">
      <c r="A230" s="56">
        <v>3</v>
      </c>
      <c r="B230" s="42" t="s">
        <v>153</v>
      </c>
      <c r="C230" s="56">
        <v>12</v>
      </c>
      <c r="D230" s="56">
        <v>4</v>
      </c>
      <c r="E230" s="56">
        <v>7</v>
      </c>
      <c r="F230" s="41">
        <v>1</v>
      </c>
    </row>
    <row r="231" s="1" customFormat="1" ht="18.75" spans="1:6">
      <c r="A231" s="56"/>
      <c r="B231" s="57" t="s">
        <v>137</v>
      </c>
      <c r="C231" s="56"/>
      <c r="D231" s="56"/>
      <c r="E231" s="56"/>
      <c r="F231" s="56"/>
    </row>
    <row r="232" s="1" customFormat="1" ht="18.75" spans="1:6">
      <c r="A232" s="56"/>
      <c r="B232" s="57" t="s">
        <v>154</v>
      </c>
      <c r="C232" s="56"/>
      <c r="D232" s="56"/>
      <c r="E232" s="56"/>
      <c r="F232" s="56"/>
    </row>
    <row r="233" s="1" customFormat="1" ht="18.75" spans="1:6">
      <c r="A233" s="56"/>
      <c r="B233" s="57" t="s">
        <v>150</v>
      </c>
      <c r="C233" s="56"/>
      <c r="D233" s="56"/>
      <c r="E233" s="56"/>
      <c r="F233" s="56"/>
    </row>
    <row r="234" s="1" customFormat="1" ht="18.75" spans="1:6">
      <c r="A234" s="56"/>
      <c r="B234" s="57" t="s">
        <v>140</v>
      </c>
      <c r="C234" s="56"/>
      <c r="D234" s="56"/>
      <c r="E234" s="56"/>
      <c r="F234" s="56"/>
    </row>
    <row r="235" s="1" customFormat="1" ht="18.75" spans="1:6">
      <c r="A235" s="56"/>
      <c r="B235" s="57" t="s">
        <v>155</v>
      </c>
      <c r="C235" s="56"/>
      <c r="D235" s="56"/>
      <c r="E235" s="56"/>
      <c r="F235" s="56"/>
    </row>
    <row r="236" s="1" customFormat="1" ht="18.75" spans="1:6">
      <c r="A236" s="56"/>
      <c r="B236" s="57" t="s">
        <v>156</v>
      </c>
      <c r="C236" s="56"/>
      <c r="D236" s="56"/>
      <c r="E236" s="56"/>
      <c r="F236" s="56"/>
    </row>
    <row r="237" s="1" customFormat="1" ht="18.75" spans="1:6">
      <c r="A237" s="56"/>
      <c r="B237" s="57" t="s">
        <v>143</v>
      </c>
      <c r="C237" s="56"/>
      <c r="D237" s="56"/>
      <c r="E237" s="56"/>
      <c r="F237" s="56"/>
    </row>
    <row r="238" s="1" customFormat="1" ht="18.75" spans="1:6">
      <c r="A238" s="56"/>
      <c r="B238" s="57" t="s">
        <v>144</v>
      </c>
      <c r="C238" s="56"/>
      <c r="D238" s="56"/>
      <c r="E238" s="56"/>
      <c r="F238" s="56"/>
    </row>
    <row r="239" s="1" customFormat="1" ht="18.75" spans="1:6">
      <c r="A239" s="56"/>
      <c r="B239" s="57" t="s">
        <v>145</v>
      </c>
      <c r="C239" s="56"/>
      <c r="D239" s="56"/>
      <c r="E239" s="56"/>
      <c r="F239" s="56"/>
    </row>
    <row r="240" s="1" customFormat="1" ht="18.75" spans="1:6">
      <c r="A240" s="56"/>
      <c r="B240" s="57" t="s">
        <v>146</v>
      </c>
      <c r="C240" s="56"/>
      <c r="D240" s="56"/>
      <c r="E240" s="56"/>
      <c r="F240" s="56"/>
    </row>
    <row r="241" s="1" customFormat="1" ht="18.75" spans="1:6">
      <c r="A241" s="56"/>
      <c r="B241" s="57" t="s">
        <v>147</v>
      </c>
      <c r="C241" s="56"/>
      <c r="D241" s="56"/>
      <c r="E241" s="56"/>
      <c r="F241" s="56"/>
    </row>
    <row r="242" s="1" customFormat="1" ht="18.75" spans="1:6">
      <c r="A242" s="56">
        <v>4</v>
      </c>
      <c r="B242" s="42" t="s">
        <v>157</v>
      </c>
      <c r="C242" s="56">
        <v>10</v>
      </c>
      <c r="D242" s="56">
        <v>3</v>
      </c>
      <c r="E242" s="56">
        <v>7</v>
      </c>
      <c r="F242" s="41"/>
    </row>
    <row r="243" s="1" customFormat="1" ht="18.75" spans="1:6">
      <c r="A243" s="56"/>
      <c r="B243" s="57" t="s">
        <v>137</v>
      </c>
      <c r="C243" s="56"/>
      <c r="D243" s="56"/>
      <c r="E243" s="56"/>
      <c r="F243" s="56"/>
    </row>
    <row r="244" s="1" customFormat="1" ht="18.75" spans="1:6">
      <c r="A244" s="56"/>
      <c r="B244" s="57" t="s">
        <v>158</v>
      </c>
      <c r="C244" s="56"/>
      <c r="D244" s="56"/>
      <c r="E244" s="56"/>
      <c r="F244" s="56"/>
    </row>
    <row r="245" s="1" customFormat="1" ht="18.75" spans="1:6">
      <c r="A245" s="56"/>
      <c r="B245" s="57" t="s">
        <v>159</v>
      </c>
      <c r="C245" s="56"/>
      <c r="D245" s="56"/>
      <c r="E245" s="56"/>
      <c r="F245" s="56"/>
    </row>
    <row r="246" s="1" customFormat="1" ht="18.75" spans="1:6">
      <c r="A246" s="56"/>
      <c r="B246" s="57" t="s">
        <v>140</v>
      </c>
      <c r="C246" s="56"/>
      <c r="D246" s="56"/>
      <c r="E246" s="56"/>
      <c r="F246" s="56"/>
    </row>
    <row r="247" s="1" customFormat="1" ht="18.75" spans="1:6">
      <c r="A247" s="56"/>
      <c r="B247" s="57" t="s">
        <v>160</v>
      </c>
      <c r="C247" s="56"/>
      <c r="D247" s="56"/>
      <c r="E247" s="56"/>
      <c r="F247" s="56"/>
    </row>
    <row r="248" s="1" customFormat="1" ht="18.75" spans="1:6">
      <c r="A248" s="56"/>
      <c r="B248" s="57" t="s">
        <v>161</v>
      </c>
      <c r="C248" s="56"/>
      <c r="D248" s="56"/>
      <c r="E248" s="56"/>
      <c r="F248" s="56"/>
    </row>
    <row r="249" s="1" customFormat="1" ht="18.75" spans="1:6">
      <c r="A249" s="56"/>
      <c r="B249" s="57" t="s">
        <v>143</v>
      </c>
      <c r="C249" s="56"/>
      <c r="D249" s="56"/>
      <c r="E249" s="56"/>
      <c r="F249" s="56"/>
    </row>
    <row r="250" s="1" customFormat="1" ht="18.75" spans="1:6">
      <c r="A250" s="56"/>
      <c r="B250" s="57" t="s">
        <v>144</v>
      </c>
      <c r="C250" s="56"/>
      <c r="D250" s="56"/>
      <c r="E250" s="56"/>
      <c r="F250" s="56"/>
    </row>
    <row r="251" s="1" customFormat="1" ht="18.75" spans="1:6">
      <c r="A251" s="56"/>
      <c r="B251" s="57" t="s">
        <v>145</v>
      </c>
      <c r="C251" s="56"/>
      <c r="D251" s="56"/>
      <c r="E251" s="56"/>
      <c r="F251" s="56"/>
    </row>
    <row r="252" s="1" customFormat="1" ht="18.75" spans="1:6">
      <c r="A252" s="56"/>
      <c r="B252" s="57" t="s">
        <v>146</v>
      </c>
      <c r="C252" s="56"/>
      <c r="D252" s="56"/>
      <c r="E252" s="56"/>
      <c r="F252" s="56"/>
    </row>
    <row r="253" s="1" customFormat="1" ht="18.75" spans="1:6">
      <c r="A253" s="56"/>
      <c r="B253" s="57" t="s">
        <v>147</v>
      </c>
      <c r="C253" s="56"/>
      <c r="D253" s="56"/>
      <c r="E253" s="56"/>
      <c r="F253" s="56"/>
    </row>
    <row r="254" s="1" customFormat="1" ht="18.75" spans="1:6">
      <c r="A254" s="56">
        <v>5</v>
      </c>
      <c r="B254" s="42" t="s">
        <v>162</v>
      </c>
      <c r="C254" s="56">
        <v>11</v>
      </c>
      <c r="D254" s="56">
        <v>4</v>
      </c>
      <c r="E254" s="56">
        <v>7</v>
      </c>
      <c r="F254" s="41"/>
    </row>
    <row r="255" s="1" customFormat="1" ht="18.75" spans="1:6">
      <c r="A255" s="56"/>
      <c r="B255" s="57" t="s">
        <v>137</v>
      </c>
      <c r="C255" s="56"/>
      <c r="D255" s="56"/>
      <c r="E255" s="56"/>
      <c r="F255" s="56"/>
    </row>
    <row r="256" s="1" customFormat="1" ht="18.75" spans="1:6">
      <c r="A256" s="56"/>
      <c r="B256" s="57" t="s">
        <v>163</v>
      </c>
      <c r="C256" s="56"/>
      <c r="D256" s="56"/>
      <c r="E256" s="56"/>
      <c r="F256" s="56"/>
    </row>
    <row r="257" s="1" customFormat="1" ht="18.75" spans="1:6">
      <c r="A257" s="56"/>
      <c r="B257" s="57" t="s">
        <v>164</v>
      </c>
      <c r="C257" s="56"/>
      <c r="D257" s="56"/>
      <c r="E257" s="56"/>
      <c r="F257" s="56"/>
    </row>
    <row r="258" s="1" customFormat="1" ht="18.75" spans="1:6">
      <c r="A258" s="56"/>
      <c r="B258" s="57" t="s">
        <v>140</v>
      </c>
      <c r="C258" s="56"/>
      <c r="D258" s="56"/>
      <c r="E258" s="56"/>
      <c r="F258" s="56"/>
    </row>
    <row r="259" s="1" customFormat="1" ht="18.75" spans="1:6">
      <c r="A259" s="56"/>
      <c r="B259" s="57" t="s">
        <v>165</v>
      </c>
      <c r="C259" s="56"/>
      <c r="D259" s="56"/>
      <c r="E259" s="56"/>
      <c r="F259" s="56"/>
    </row>
    <row r="260" s="1" customFormat="1" ht="18.75" spans="1:6">
      <c r="A260" s="56"/>
      <c r="B260" s="57" t="s">
        <v>166</v>
      </c>
      <c r="C260" s="56"/>
      <c r="D260" s="56"/>
      <c r="E260" s="56"/>
      <c r="F260" s="56"/>
    </row>
    <row r="261" s="1" customFormat="1" ht="18.75" spans="1:6">
      <c r="A261" s="56"/>
      <c r="B261" s="57" t="s">
        <v>143</v>
      </c>
      <c r="C261" s="56"/>
      <c r="D261" s="56"/>
      <c r="E261" s="56"/>
      <c r="F261" s="56"/>
    </row>
    <row r="262" s="1" customFormat="1" ht="18.75" spans="1:6">
      <c r="A262" s="56"/>
      <c r="B262" s="57" t="s">
        <v>144</v>
      </c>
      <c r="C262" s="56"/>
      <c r="D262" s="56"/>
      <c r="E262" s="56"/>
      <c r="F262" s="56"/>
    </row>
    <row r="263" s="1" customFormat="1" ht="18.75" spans="1:6">
      <c r="A263" s="56"/>
      <c r="B263" s="57" t="s">
        <v>145</v>
      </c>
      <c r="C263" s="56"/>
      <c r="D263" s="56"/>
      <c r="E263" s="56"/>
      <c r="F263" s="56"/>
    </row>
    <row r="264" s="1" customFormat="1" ht="18.75" spans="1:6">
      <c r="A264" s="56"/>
      <c r="B264" s="57" t="s">
        <v>146</v>
      </c>
      <c r="C264" s="56"/>
      <c r="D264" s="56"/>
      <c r="E264" s="56"/>
      <c r="F264" s="56"/>
    </row>
    <row r="265" s="1" customFormat="1" ht="18.75" spans="1:6">
      <c r="A265" s="56"/>
      <c r="B265" s="57" t="s">
        <v>147</v>
      </c>
      <c r="C265" s="56"/>
      <c r="D265" s="56"/>
      <c r="E265" s="56"/>
      <c r="F265" s="56"/>
    </row>
    <row r="266" s="1" customFormat="1" ht="18.75" spans="1:6">
      <c r="A266" s="56">
        <v>6</v>
      </c>
      <c r="B266" s="42" t="s">
        <v>167</v>
      </c>
      <c r="C266" s="56">
        <v>12</v>
      </c>
      <c r="D266" s="56">
        <v>4</v>
      </c>
      <c r="E266" s="56">
        <v>6</v>
      </c>
      <c r="F266" s="41">
        <v>2</v>
      </c>
    </row>
    <row r="267" s="1" customFormat="1" ht="18.75" spans="1:6">
      <c r="A267" s="56"/>
      <c r="B267" s="57" t="s">
        <v>137</v>
      </c>
      <c r="C267" s="56"/>
      <c r="D267" s="56"/>
      <c r="E267" s="56"/>
      <c r="F267" s="56"/>
    </row>
    <row r="268" s="1" customFormat="1" ht="18.75" spans="1:6">
      <c r="A268" s="56"/>
      <c r="B268" s="57" t="s">
        <v>168</v>
      </c>
      <c r="C268" s="56"/>
      <c r="D268" s="56"/>
      <c r="E268" s="56"/>
      <c r="F268" s="56"/>
    </row>
    <row r="269" s="1" customFormat="1" ht="18.75" spans="1:6">
      <c r="A269" s="56"/>
      <c r="B269" s="57" t="s">
        <v>169</v>
      </c>
      <c r="C269" s="56"/>
      <c r="D269" s="56"/>
      <c r="E269" s="56"/>
      <c r="F269" s="56"/>
    </row>
    <row r="270" s="1" customFormat="1" ht="18.75" spans="1:6">
      <c r="A270" s="56"/>
      <c r="B270" s="57" t="s">
        <v>140</v>
      </c>
      <c r="C270" s="56"/>
      <c r="D270" s="56"/>
      <c r="E270" s="56"/>
      <c r="F270" s="56"/>
    </row>
    <row r="271" s="1" customFormat="1" ht="18.75" spans="1:6">
      <c r="A271" s="56"/>
      <c r="B271" s="57" t="s">
        <v>170</v>
      </c>
      <c r="C271" s="56"/>
      <c r="D271" s="56"/>
      <c r="E271" s="56"/>
      <c r="F271" s="56"/>
    </row>
    <row r="272" s="1" customFormat="1" ht="18.75" spans="1:6">
      <c r="A272" s="56"/>
      <c r="B272" s="57" t="s">
        <v>171</v>
      </c>
      <c r="C272" s="56"/>
      <c r="D272" s="56"/>
      <c r="E272" s="56"/>
      <c r="F272" s="56"/>
    </row>
    <row r="273" s="1" customFormat="1" ht="18.75" spans="1:6">
      <c r="A273" s="56"/>
      <c r="B273" s="57" t="s">
        <v>143</v>
      </c>
      <c r="C273" s="56"/>
      <c r="D273" s="56"/>
      <c r="E273" s="56"/>
      <c r="F273" s="56"/>
    </row>
    <row r="274" s="1" customFormat="1" ht="18.75" spans="1:6">
      <c r="A274" s="56"/>
      <c r="B274" s="57" t="s">
        <v>144</v>
      </c>
      <c r="C274" s="56"/>
      <c r="D274" s="56"/>
      <c r="E274" s="56"/>
      <c r="F274" s="56"/>
    </row>
    <row r="275" s="1" customFormat="1" ht="18.75" spans="1:6">
      <c r="A275" s="56"/>
      <c r="B275" s="57" t="s">
        <v>145</v>
      </c>
      <c r="C275" s="56"/>
      <c r="D275" s="56"/>
      <c r="E275" s="56"/>
      <c r="F275" s="56"/>
    </row>
    <row r="276" s="1" customFormat="1" ht="18.75" spans="1:6">
      <c r="A276" s="56"/>
      <c r="B276" s="57" t="s">
        <v>146</v>
      </c>
      <c r="C276" s="56"/>
      <c r="D276" s="56"/>
      <c r="E276" s="56"/>
      <c r="F276" s="56"/>
    </row>
    <row r="277" s="1" customFormat="1" ht="18.75" spans="1:6">
      <c r="A277" s="56"/>
      <c r="B277" s="57" t="s">
        <v>147</v>
      </c>
      <c r="C277" s="56"/>
      <c r="D277" s="56"/>
      <c r="E277" s="56"/>
      <c r="F277" s="56"/>
    </row>
    <row r="278" s="1" customFormat="1" ht="18.75" spans="1:6">
      <c r="A278" s="56">
        <v>7</v>
      </c>
      <c r="B278" s="42" t="s">
        <v>172</v>
      </c>
      <c r="C278" s="56">
        <v>11</v>
      </c>
      <c r="D278" s="56">
        <v>4</v>
      </c>
      <c r="E278" s="56">
        <v>7</v>
      </c>
      <c r="F278" s="41"/>
    </row>
    <row r="279" s="1" customFormat="1" ht="18.75" spans="1:6">
      <c r="A279" s="56"/>
      <c r="B279" s="57" t="s">
        <v>137</v>
      </c>
      <c r="C279" s="56"/>
      <c r="D279" s="56"/>
      <c r="E279" s="56"/>
      <c r="F279" s="56"/>
    </row>
    <row r="280" s="1" customFormat="1" ht="37.5" spans="1:6">
      <c r="A280" s="56"/>
      <c r="B280" s="57" t="s">
        <v>173</v>
      </c>
      <c r="C280" s="56"/>
      <c r="D280" s="56"/>
      <c r="E280" s="56"/>
      <c r="F280" s="56"/>
    </row>
    <row r="281" s="1" customFormat="1" ht="18.75" spans="1:6">
      <c r="A281" s="56"/>
      <c r="B281" s="57" t="s">
        <v>174</v>
      </c>
      <c r="C281" s="56"/>
      <c r="D281" s="56"/>
      <c r="E281" s="56"/>
      <c r="F281" s="56"/>
    </row>
    <row r="282" s="1" customFormat="1" ht="18.75" spans="1:6">
      <c r="A282" s="56"/>
      <c r="B282" s="57" t="s">
        <v>140</v>
      </c>
      <c r="C282" s="56"/>
      <c r="D282" s="56"/>
      <c r="E282" s="56"/>
      <c r="F282" s="56"/>
    </row>
    <row r="283" s="1" customFormat="1" ht="18.75" spans="1:6">
      <c r="A283" s="56"/>
      <c r="B283" s="57" t="s">
        <v>175</v>
      </c>
      <c r="C283" s="56"/>
      <c r="D283" s="56"/>
      <c r="E283" s="56"/>
      <c r="F283" s="56"/>
    </row>
    <row r="284" s="1" customFormat="1" ht="18.75" spans="1:6">
      <c r="A284" s="56"/>
      <c r="B284" s="57" t="s">
        <v>176</v>
      </c>
      <c r="C284" s="56"/>
      <c r="D284" s="56"/>
      <c r="E284" s="56"/>
      <c r="F284" s="56"/>
    </row>
    <row r="285" s="1" customFormat="1" ht="18.75" spans="1:6">
      <c r="A285" s="56"/>
      <c r="B285" s="57" t="s">
        <v>143</v>
      </c>
      <c r="C285" s="56"/>
      <c r="D285" s="56"/>
      <c r="E285" s="56"/>
      <c r="F285" s="56"/>
    </row>
    <row r="286" s="1" customFormat="1" ht="18.75" spans="1:6">
      <c r="A286" s="56"/>
      <c r="B286" s="57" t="s">
        <v>144</v>
      </c>
      <c r="C286" s="56"/>
      <c r="D286" s="56"/>
      <c r="E286" s="56"/>
      <c r="F286" s="56"/>
    </row>
    <row r="287" s="1" customFormat="1" ht="18.75" spans="1:6">
      <c r="A287" s="56"/>
      <c r="B287" s="57" t="s">
        <v>145</v>
      </c>
      <c r="C287" s="56"/>
      <c r="D287" s="56"/>
      <c r="E287" s="56"/>
      <c r="F287" s="56"/>
    </row>
    <row r="288" s="1" customFormat="1" ht="18.75" spans="1:6">
      <c r="A288" s="56"/>
      <c r="B288" s="57" t="s">
        <v>146</v>
      </c>
      <c r="C288" s="56"/>
      <c r="D288" s="56"/>
      <c r="E288" s="56"/>
      <c r="F288" s="56"/>
    </row>
    <row r="289" s="1" customFormat="1" ht="18.75" spans="1:6">
      <c r="A289" s="56"/>
      <c r="B289" s="57" t="s">
        <v>147</v>
      </c>
      <c r="C289" s="56"/>
      <c r="D289" s="56"/>
      <c r="E289" s="56"/>
      <c r="F289" s="56"/>
    </row>
    <row r="290" s="1" customFormat="1" ht="18.75" spans="1:6">
      <c r="A290" s="56">
        <v>8</v>
      </c>
      <c r="B290" s="42" t="s">
        <v>177</v>
      </c>
      <c r="C290" s="56">
        <v>10</v>
      </c>
      <c r="D290" s="56">
        <v>4</v>
      </c>
      <c r="E290" s="56">
        <v>6</v>
      </c>
      <c r="F290" s="41"/>
    </row>
    <row r="291" s="1" customFormat="1" ht="18.75" spans="1:6">
      <c r="A291" s="56"/>
      <c r="B291" s="57" t="s">
        <v>137</v>
      </c>
      <c r="C291" s="56"/>
      <c r="D291" s="56"/>
      <c r="E291" s="56"/>
      <c r="F291" s="56"/>
    </row>
    <row r="292" s="1" customFormat="1" ht="18.75" spans="1:6">
      <c r="A292" s="56"/>
      <c r="B292" s="57" t="s">
        <v>178</v>
      </c>
      <c r="C292" s="56"/>
      <c r="D292" s="56"/>
      <c r="E292" s="56"/>
      <c r="F292" s="56"/>
    </row>
    <row r="293" s="1" customFormat="1" ht="18.75" spans="1:6">
      <c r="A293" s="56"/>
      <c r="B293" s="57" t="s">
        <v>179</v>
      </c>
      <c r="C293" s="56"/>
      <c r="D293" s="56"/>
      <c r="E293" s="56"/>
      <c r="F293" s="56"/>
    </row>
    <row r="294" s="1" customFormat="1" ht="18.75" spans="1:6">
      <c r="A294" s="56"/>
      <c r="B294" s="57" t="s">
        <v>140</v>
      </c>
      <c r="C294" s="56"/>
      <c r="D294" s="56"/>
      <c r="E294" s="56"/>
      <c r="F294" s="56"/>
    </row>
    <row r="295" s="1" customFormat="1" ht="18.75" spans="1:6">
      <c r="A295" s="56"/>
      <c r="B295" s="57" t="s">
        <v>180</v>
      </c>
      <c r="C295" s="56"/>
      <c r="D295" s="56"/>
      <c r="E295" s="56"/>
      <c r="F295" s="56"/>
    </row>
    <row r="296" s="1" customFormat="1" ht="18.75" spans="1:6">
      <c r="A296" s="56"/>
      <c r="B296" s="57" t="s">
        <v>181</v>
      </c>
      <c r="C296" s="56"/>
      <c r="D296" s="56"/>
      <c r="E296" s="56"/>
      <c r="F296" s="56"/>
    </row>
    <row r="297" s="1" customFormat="1" ht="18.75" spans="1:6">
      <c r="A297" s="56"/>
      <c r="B297" s="57" t="s">
        <v>143</v>
      </c>
      <c r="C297" s="56"/>
      <c r="D297" s="56"/>
      <c r="E297" s="56"/>
      <c r="F297" s="56"/>
    </row>
    <row r="298" s="1" customFormat="1" ht="18.75" spans="1:6">
      <c r="A298" s="56"/>
      <c r="B298" s="57" t="s">
        <v>144</v>
      </c>
      <c r="C298" s="56"/>
      <c r="D298" s="56"/>
      <c r="E298" s="56"/>
      <c r="F298" s="56"/>
    </row>
    <row r="299" s="1" customFormat="1" ht="18.75" spans="1:6">
      <c r="A299" s="56"/>
      <c r="B299" s="57" t="s">
        <v>145</v>
      </c>
      <c r="C299" s="56"/>
      <c r="D299" s="56"/>
      <c r="E299" s="56"/>
      <c r="F299" s="56"/>
    </row>
    <row r="300" s="1" customFormat="1" ht="18.75" spans="1:6">
      <c r="A300" s="56"/>
      <c r="B300" s="57" t="s">
        <v>146</v>
      </c>
      <c r="C300" s="56"/>
      <c r="D300" s="56"/>
      <c r="E300" s="56"/>
      <c r="F300" s="56"/>
    </row>
    <row r="301" s="1" customFormat="1" ht="18.75" spans="1:6">
      <c r="A301" s="56"/>
      <c r="B301" s="57" t="s">
        <v>147</v>
      </c>
      <c r="C301" s="56"/>
      <c r="D301" s="56"/>
      <c r="E301" s="56"/>
      <c r="F301" s="56"/>
    </row>
    <row r="302" s="1" customFormat="1" ht="18.75" spans="1:6">
      <c r="A302" s="56">
        <v>9</v>
      </c>
      <c r="B302" s="42" t="s">
        <v>182</v>
      </c>
      <c r="C302" s="56">
        <v>12</v>
      </c>
      <c r="D302" s="56">
        <v>5</v>
      </c>
      <c r="E302" s="56">
        <v>6</v>
      </c>
      <c r="F302" s="41">
        <v>1</v>
      </c>
    </row>
    <row r="303" s="1" customFormat="1" ht="18.75" spans="1:6">
      <c r="A303" s="56"/>
      <c r="B303" s="57" t="s">
        <v>137</v>
      </c>
      <c r="C303" s="56"/>
      <c r="D303" s="56"/>
      <c r="E303" s="56"/>
      <c r="F303" s="56"/>
    </row>
    <row r="304" s="1" customFormat="1" ht="18.75" spans="1:6">
      <c r="A304" s="56"/>
      <c r="B304" s="57" t="s">
        <v>183</v>
      </c>
      <c r="C304" s="56"/>
      <c r="D304" s="56"/>
      <c r="E304" s="56"/>
      <c r="F304" s="56"/>
    </row>
    <row r="305" s="1" customFormat="1" ht="18.75" spans="1:6">
      <c r="A305" s="56"/>
      <c r="B305" s="57" t="s">
        <v>184</v>
      </c>
      <c r="C305" s="56"/>
      <c r="D305" s="56"/>
      <c r="E305" s="56"/>
      <c r="F305" s="56"/>
    </row>
    <row r="306" s="1" customFormat="1" ht="18.75" spans="1:6">
      <c r="A306" s="56"/>
      <c r="B306" s="57" t="s">
        <v>140</v>
      </c>
      <c r="C306" s="56"/>
      <c r="D306" s="56"/>
      <c r="E306" s="56"/>
      <c r="F306" s="56"/>
    </row>
    <row r="307" s="1" customFormat="1" ht="18.75" spans="1:6">
      <c r="A307" s="56"/>
      <c r="B307" s="57" t="s">
        <v>185</v>
      </c>
      <c r="C307" s="56"/>
      <c r="D307" s="56"/>
      <c r="E307" s="56"/>
      <c r="F307" s="56"/>
    </row>
    <row r="308" s="1" customFormat="1" ht="18.75" spans="1:6">
      <c r="A308" s="56"/>
      <c r="B308" s="57" t="s">
        <v>186</v>
      </c>
      <c r="C308" s="56"/>
      <c r="D308" s="56"/>
      <c r="E308" s="56"/>
      <c r="F308" s="56"/>
    </row>
    <row r="309" s="1" customFormat="1" ht="18.75" spans="1:6">
      <c r="A309" s="56"/>
      <c r="B309" s="57" t="s">
        <v>143</v>
      </c>
      <c r="C309" s="56"/>
      <c r="D309" s="56"/>
      <c r="E309" s="56"/>
      <c r="F309" s="56"/>
    </row>
    <row r="310" s="1" customFormat="1" ht="18.75" spans="1:6">
      <c r="A310" s="56"/>
      <c r="B310" s="57" t="s">
        <v>144</v>
      </c>
      <c r="C310" s="56"/>
      <c r="D310" s="56"/>
      <c r="E310" s="56"/>
      <c r="F310" s="56"/>
    </row>
    <row r="311" s="1" customFormat="1" ht="18.75" spans="1:6">
      <c r="A311" s="56"/>
      <c r="B311" s="57" t="s">
        <v>145</v>
      </c>
      <c r="C311" s="56"/>
      <c r="D311" s="56"/>
      <c r="E311" s="56"/>
      <c r="F311" s="56"/>
    </row>
    <row r="312" s="1" customFormat="1" ht="18.75" spans="1:6">
      <c r="A312" s="56"/>
      <c r="B312" s="57" t="s">
        <v>146</v>
      </c>
      <c r="C312" s="56"/>
      <c r="D312" s="56"/>
      <c r="E312" s="56"/>
      <c r="F312" s="56"/>
    </row>
    <row r="313" s="1" customFormat="1" ht="18.75" spans="1:6">
      <c r="A313" s="56"/>
      <c r="B313" s="57" t="s">
        <v>147</v>
      </c>
      <c r="C313" s="56"/>
      <c r="D313" s="56"/>
      <c r="E313" s="56"/>
      <c r="F313" s="56"/>
    </row>
    <row r="314" s="1" customFormat="1" ht="18.75" spans="1:6">
      <c r="A314" s="56">
        <v>10</v>
      </c>
      <c r="B314" s="42" t="s">
        <v>187</v>
      </c>
      <c r="C314" s="56">
        <v>10</v>
      </c>
      <c r="D314" s="56">
        <v>4</v>
      </c>
      <c r="E314" s="56">
        <v>6</v>
      </c>
      <c r="F314" s="41"/>
    </row>
    <row r="315" s="1" customFormat="1" ht="18.75" spans="1:6">
      <c r="A315" s="56"/>
      <c r="B315" s="57" t="s">
        <v>137</v>
      </c>
      <c r="C315" s="56"/>
      <c r="D315" s="56"/>
      <c r="E315" s="56"/>
      <c r="F315" s="56"/>
    </row>
    <row r="316" s="1" customFormat="1" ht="37.5" spans="1:6">
      <c r="A316" s="56"/>
      <c r="B316" s="57" t="s">
        <v>188</v>
      </c>
      <c r="C316" s="56"/>
      <c r="D316" s="56"/>
      <c r="E316" s="56"/>
      <c r="F316" s="56"/>
    </row>
    <row r="317" s="1" customFormat="1" ht="18.75" spans="1:6">
      <c r="A317" s="56"/>
      <c r="B317" s="57" t="s">
        <v>189</v>
      </c>
      <c r="C317" s="56"/>
      <c r="D317" s="56"/>
      <c r="E317" s="56"/>
      <c r="F317" s="56"/>
    </row>
    <row r="318" s="1" customFormat="1" ht="18.75" spans="1:6">
      <c r="A318" s="56"/>
      <c r="B318" s="57" t="s">
        <v>140</v>
      </c>
      <c r="C318" s="56"/>
      <c r="D318" s="56"/>
      <c r="E318" s="56"/>
      <c r="F318" s="56"/>
    </row>
    <row r="319" s="1" customFormat="1" ht="18.75" spans="1:6">
      <c r="A319" s="56"/>
      <c r="B319" s="57" t="s">
        <v>190</v>
      </c>
      <c r="C319" s="56"/>
      <c r="D319" s="56"/>
      <c r="E319" s="56"/>
      <c r="F319" s="56"/>
    </row>
    <row r="320" s="1" customFormat="1" ht="18.75" spans="1:6">
      <c r="A320" s="56"/>
      <c r="B320" s="57" t="s">
        <v>191</v>
      </c>
      <c r="C320" s="56"/>
      <c r="D320" s="56"/>
      <c r="E320" s="56"/>
      <c r="F320" s="56"/>
    </row>
    <row r="321" s="1" customFormat="1" ht="18.75" spans="1:6">
      <c r="A321" s="56"/>
      <c r="B321" s="57" t="s">
        <v>143</v>
      </c>
      <c r="C321" s="56"/>
      <c r="D321" s="56"/>
      <c r="E321" s="56"/>
      <c r="F321" s="56"/>
    </row>
    <row r="322" s="1" customFormat="1" ht="18.75" spans="1:6">
      <c r="A322" s="56"/>
      <c r="B322" s="57" t="s">
        <v>144</v>
      </c>
      <c r="C322" s="56"/>
      <c r="D322" s="56"/>
      <c r="E322" s="56"/>
      <c r="F322" s="56"/>
    </row>
    <row r="323" s="1" customFormat="1" ht="18.75" spans="1:6">
      <c r="A323" s="56"/>
      <c r="B323" s="57" t="s">
        <v>145</v>
      </c>
      <c r="C323" s="56"/>
      <c r="D323" s="56"/>
      <c r="E323" s="56"/>
      <c r="F323" s="56"/>
    </row>
    <row r="324" s="1" customFormat="1" ht="18.75" spans="1:6">
      <c r="A324" s="56"/>
      <c r="B324" s="57" t="s">
        <v>146</v>
      </c>
      <c r="C324" s="56"/>
      <c r="D324" s="56"/>
      <c r="E324" s="56"/>
      <c r="F324" s="56"/>
    </row>
    <row r="325" s="1" customFormat="1" ht="18.75" spans="1:6">
      <c r="A325" s="56"/>
      <c r="B325" s="57" t="s">
        <v>147</v>
      </c>
      <c r="C325" s="56"/>
      <c r="D325" s="56"/>
      <c r="E325" s="56"/>
      <c r="F325" s="56"/>
    </row>
    <row r="326" s="1" customFormat="1" ht="18.75" spans="1:6">
      <c r="A326" s="56">
        <v>11</v>
      </c>
      <c r="B326" s="42" t="s">
        <v>192</v>
      </c>
      <c r="C326" s="56">
        <v>10</v>
      </c>
      <c r="D326" s="56">
        <v>4</v>
      </c>
      <c r="E326" s="56">
        <v>6</v>
      </c>
      <c r="F326" s="41"/>
    </row>
    <row r="327" s="1" customFormat="1" ht="18.75" spans="1:6">
      <c r="A327" s="56"/>
      <c r="B327" s="57" t="s">
        <v>137</v>
      </c>
      <c r="C327" s="56"/>
      <c r="D327" s="56"/>
      <c r="E327" s="56"/>
      <c r="F327" s="56"/>
    </row>
    <row r="328" s="1" customFormat="1" ht="18.75" spans="1:6">
      <c r="A328" s="56"/>
      <c r="B328" s="57" t="s">
        <v>193</v>
      </c>
      <c r="C328" s="56"/>
      <c r="D328" s="56"/>
      <c r="E328" s="56"/>
      <c r="F328" s="56"/>
    </row>
    <row r="329" s="1" customFormat="1" ht="18.75" spans="1:6">
      <c r="A329" s="56"/>
      <c r="B329" s="57" t="s">
        <v>194</v>
      </c>
      <c r="C329" s="56"/>
      <c r="D329" s="56"/>
      <c r="E329" s="56"/>
      <c r="F329" s="56"/>
    </row>
    <row r="330" s="1" customFormat="1" ht="18.75" spans="1:6">
      <c r="A330" s="56"/>
      <c r="B330" s="57" t="s">
        <v>140</v>
      </c>
      <c r="C330" s="56"/>
      <c r="D330" s="56"/>
      <c r="E330" s="56"/>
      <c r="F330" s="56"/>
    </row>
    <row r="331" s="1" customFormat="1" ht="18.75" spans="1:6">
      <c r="A331" s="56"/>
      <c r="B331" s="57" t="s">
        <v>195</v>
      </c>
      <c r="C331" s="56"/>
      <c r="D331" s="56"/>
      <c r="E331" s="56"/>
      <c r="F331" s="56"/>
    </row>
    <row r="332" s="1" customFormat="1" ht="18.75" spans="1:6">
      <c r="A332" s="56"/>
      <c r="B332" s="57" t="s">
        <v>196</v>
      </c>
      <c r="C332" s="56"/>
      <c r="D332" s="56"/>
      <c r="E332" s="56"/>
      <c r="F332" s="56"/>
    </row>
    <row r="333" s="1" customFormat="1" ht="18.75" spans="1:6">
      <c r="A333" s="56"/>
      <c r="B333" s="57" t="s">
        <v>143</v>
      </c>
      <c r="C333" s="56"/>
      <c r="D333" s="56"/>
      <c r="E333" s="56"/>
      <c r="F333" s="56"/>
    </row>
    <row r="334" s="1" customFormat="1" ht="18.75" spans="1:6">
      <c r="A334" s="56"/>
      <c r="B334" s="57" t="s">
        <v>144</v>
      </c>
      <c r="C334" s="56"/>
      <c r="D334" s="56"/>
      <c r="E334" s="56"/>
      <c r="F334" s="56"/>
    </row>
    <row r="335" s="1" customFormat="1" ht="18.75" spans="1:6">
      <c r="A335" s="56"/>
      <c r="B335" s="57" t="s">
        <v>145</v>
      </c>
      <c r="C335" s="56"/>
      <c r="D335" s="56"/>
      <c r="E335" s="56"/>
      <c r="F335" s="56"/>
    </row>
    <row r="336" s="1" customFormat="1" ht="18.75" spans="1:6">
      <c r="A336" s="56"/>
      <c r="B336" s="57" t="s">
        <v>146</v>
      </c>
      <c r="C336" s="56"/>
      <c r="D336" s="56"/>
      <c r="E336" s="56"/>
      <c r="F336" s="56"/>
    </row>
    <row r="337" s="1" customFormat="1" ht="18.75" spans="1:7">
      <c r="A337" s="56"/>
      <c r="B337" s="57" t="s">
        <v>147</v>
      </c>
      <c r="C337" s="56"/>
      <c r="D337" s="56"/>
      <c r="E337" s="56"/>
      <c r="F337" s="56"/>
    </row>
    <row r="338" s="1" customFormat="1" ht="18.75" spans="1:7">
      <c r="A338" s="56">
        <v>12</v>
      </c>
      <c r="B338" s="42" t="s">
        <v>197</v>
      </c>
      <c r="C338" s="56">
        <v>2</v>
      </c>
      <c r="D338" s="56"/>
      <c r="E338" s="56"/>
      <c r="F338" s="41">
        <v>2</v>
      </c>
    </row>
    <row r="339" s="1" customFormat="1" ht="18.75" spans="1:7">
      <c r="A339" s="58"/>
      <c r="B339" s="6" t="s">
        <v>69</v>
      </c>
      <c r="C339" s="8">
        <f t="shared" ref="C339:F339" si="68">SUM(C206:C338)</f>
        <v>120</v>
      </c>
      <c r="D339" s="8">
        <f t="shared" si="68"/>
        <v>42</v>
      </c>
      <c r="E339" s="8">
        <f t="shared" si="68"/>
        <v>72</v>
      </c>
      <c r="F339" s="8">
        <f t="shared" si="68"/>
        <v>6</v>
      </c>
    </row>
    <row r="340" s="1" customFormat="1" ht="43.5" customHeight="1" spans="1:7">
      <c r="B340" s="59" t="s">
        <v>198</v>
      </c>
      <c r="C340" s="60"/>
      <c r="D340" s="60"/>
      <c r="E340" s="60"/>
      <c r="F340" s="61"/>
    </row>
    <row r="341" s="1" customFormat="1" ht="18.75" spans="1:7">
      <c r="A341" s="2" t="s">
        <v>199</v>
      </c>
      <c r="B341" s="31" t="str">
        <f>VLOOKUP(A341,$A$7:$B$50,2,FALSE)</f>
        <v>Tin học và chuyển đổi số</v>
      </c>
    </row>
    <row r="342" s="1" customFormat="1" ht="18.75" spans="1:7">
      <c r="A342" s="46" t="s">
        <v>79</v>
      </c>
      <c r="B342" s="46" t="s">
        <v>80</v>
      </c>
      <c r="C342" s="46" t="s">
        <v>81</v>
      </c>
      <c r="D342" s="46"/>
      <c r="E342" s="46"/>
      <c r="F342" s="46"/>
    </row>
    <row r="343" s="1" customFormat="1" ht="75" spans="1:7">
      <c r="A343" s="47"/>
      <c r="B343" s="47"/>
      <c r="C343" s="47" t="s">
        <v>7</v>
      </c>
      <c r="D343" s="47" t="s">
        <v>9</v>
      </c>
      <c r="E343" s="47" t="s">
        <v>82</v>
      </c>
      <c r="F343" s="47" t="s">
        <v>11</v>
      </c>
    </row>
    <row r="344" s="1" customFormat="1" ht="37.5" spans="1:7">
      <c r="A344" s="41">
        <v>1</v>
      </c>
      <c r="B344" s="42" t="s">
        <v>200</v>
      </c>
      <c r="C344" s="41">
        <v>12</v>
      </c>
      <c r="D344" s="41">
        <v>3</v>
      </c>
      <c r="E344" s="41">
        <v>9</v>
      </c>
      <c r="F344" s="41"/>
      <c r="G344" s="62"/>
    </row>
    <row r="345" s="1" customFormat="1" ht="37.5" spans="1:7">
      <c r="A345" s="41"/>
      <c r="B345" s="42" t="s">
        <v>201</v>
      </c>
      <c r="C345" s="41"/>
      <c r="D345" s="41"/>
      <c r="E345" s="41"/>
      <c r="F345" s="41"/>
      <c r="G345" s="62"/>
    </row>
    <row r="346" s="1" customFormat="1" ht="18.75" spans="1:7">
      <c r="A346" s="41"/>
      <c r="B346" s="42" t="s">
        <v>202</v>
      </c>
      <c r="C346" s="41"/>
      <c r="D346" s="41"/>
      <c r="E346" s="41"/>
      <c r="F346" s="41"/>
      <c r="G346" s="62"/>
    </row>
    <row r="347" s="1" customFormat="1" ht="18.75" spans="1:7">
      <c r="A347" s="41"/>
      <c r="B347" s="42" t="s">
        <v>203</v>
      </c>
      <c r="C347" s="41"/>
      <c r="D347" s="41"/>
      <c r="E347" s="41"/>
      <c r="F347" s="41"/>
      <c r="G347" s="62"/>
    </row>
    <row r="348" s="1" customFormat="1" ht="18.75" spans="1:7">
      <c r="A348" s="41"/>
      <c r="B348" s="42" t="s">
        <v>204</v>
      </c>
      <c r="C348" s="41"/>
      <c r="D348" s="41"/>
      <c r="E348" s="41"/>
      <c r="F348" s="41"/>
      <c r="G348" s="62"/>
    </row>
    <row r="349" s="1" customFormat="1" ht="18.75" spans="1:7">
      <c r="A349" s="41"/>
      <c r="B349" s="42" t="s">
        <v>205</v>
      </c>
      <c r="C349" s="41"/>
      <c r="D349" s="41"/>
      <c r="E349" s="41"/>
      <c r="F349" s="41"/>
      <c r="G349" s="62"/>
    </row>
    <row r="350" s="1" customFormat="1" ht="37.5" spans="1:7">
      <c r="A350" s="41"/>
      <c r="B350" s="42" t="s">
        <v>206</v>
      </c>
      <c r="C350" s="41"/>
      <c r="D350" s="41"/>
      <c r="E350" s="41"/>
      <c r="F350" s="41"/>
      <c r="G350" s="62"/>
    </row>
    <row r="351" s="1" customFormat="1" ht="18.75" spans="1:7">
      <c r="A351" s="41"/>
      <c r="B351" s="42" t="s">
        <v>207</v>
      </c>
      <c r="C351" s="41"/>
      <c r="D351" s="41"/>
      <c r="E351" s="41"/>
      <c r="F351" s="41"/>
      <c r="G351" s="62"/>
    </row>
    <row r="352" s="1" customFormat="1" ht="37.5" spans="1:7">
      <c r="A352" s="41"/>
      <c r="B352" s="42" t="s">
        <v>208</v>
      </c>
      <c r="C352" s="41"/>
      <c r="D352" s="41"/>
      <c r="E352" s="41"/>
      <c r="F352" s="41"/>
      <c r="G352" s="62"/>
    </row>
    <row r="353" s="1" customFormat="1" ht="56.25" spans="1:7">
      <c r="A353" s="41"/>
      <c r="B353" s="42" t="s">
        <v>209</v>
      </c>
      <c r="C353" s="41"/>
      <c r="D353" s="41"/>
      <c r="E353" s="41"/>
      <c r="F353" s="41"/>
      <c r="G353" s="62"/>
    </row>
    <row r="354" s="1" customFormat="1" ht="37.5" spans="1:7">
      <c r="A354" s="41"/>
      <c r="B354" s="42" t="s">
        <v>210</v>
      </c>
      <c r="C354" s="41"/>
      <c r="D354" s="41"/>
      <c r="E354" s="41"/>
      <c r="F354" s="41"/>
      <c r="G354" s="62"/>
    </row>
    <row r="355" s="1" customFormat="1" ht="18.75" spans="1:7">
      <c r="A355" s="41"/>
      <c r="B355" s="42" t="s">
        <v>211</v>
      </c>
      <c r="C355" s="41"/>
      <c r="D355" s="41"/>
      <c r="E355" s="41"/>
      <c r="F355" s="41"/>
      <c r="G355" s="62"/>
    </row>
    <row r="356" s="1" customFormat="1" ht="18.75" spans="1:7">
      <c r="A356" s="41"/>
      <c r="B356" s="42" t="s">
        <v>212</v>
      </c>
      <c r="C356" s="41"/>
      <c r="D356" s="41"/>
      <c r="E356" s="41"/>
      <c r="F356" s="41"/>
      <c r="G356" s="62"/>
    </row>
    <row r="357" s="1" customFormat="1" ht="18.75" spans="1:7">
      <c r="A357" s="41"/>
      <c r="B357" s="42" t="s">
        <v>213</v>
      </c>
      <c r="C357" s="41"/>
      <c r="D357" s="41"/>
      <c r="E357" s="41"/>
      <c r="F357" s="41"/>
      <c r="G357" s="62"/>
    </row>
    <row r="358" s="1" customFormat="1" ht="37.5" spans="1:7">
      <c r="A358" s="41"/>
      <c r="B358" s="42" t="s">
        <v>214</v>
      </c>
      <c r="C358" s="41"/>
      <c r="D358" s="41"/>
      <c r="E358" s="41"/>
      <c r="F358" s="41"/>
      <c r="G358" s="62"/>
    </row>
    <row r="359" s="1" customFormat="1" ht="37.5" spans="1:7">
      <c r="A359" s="41"/>
      <c r="B359" s="42" t="s">
        <v>215</v>
      </c>
      <c r="C359" s="41"/>
      <c r="D359" s="41"/>
      <c r="E359" s="41"/>
      <c r="F359" s="41"/>
      <c r="G359" s="62"/>
    </row>
    <row r="360" s="1" customFormat="1" ht="18.75" spans="1:7">
      <c r="A360" s="41">
        <v>2</v>
      </c>
      <c r="B360" s="42" t="s">
        <v>216</v>
      </c>
      <c r="C360" s="41">
        <v>18</v>
      </c>
      <c r="D360" s="41">
        <v>3</v>
      </c>
      <c r="E360" s="41">
        <v>15</v>
      </c>
      <c r="F360" s="41"/>
      <c r="G360" s="62"/>
    </row>
    <row r="361" s="1" customFormat="1" ht="18.75" spans="1:7">
      <c r="A361" s="41"/>
      <c r="B361" s="42" t="s">
        <v>217</v>
      </c>
      <c r="C361" s="41"/>
      <c r="D361" s="41"/>
      <c r="E361" s="41"/>
      <c r="F361" s="41"/>
      <c r="G361" s="62"/>
    </row>
    <row r="362" s="1" customFormat="1" ht="37.5" spans="1:7">
      <c r="A362" s="41"/>
      <c r="B362" s="42" t="s">
        <v>218</v>
      </c>
      <c r="C362" s="41"/>
      <c r="D362" s="41"/>
      <c r="E362" s="41"/>
      <c r="F362" s="41"/>
      <c r="G362" s="62"/>
    </row>
    <row r="363" s="1" customFormat="1" ht="37.5" spans="1:7">
      <c r="A363" s="41"/>
      <c r="B363" s="42" t="s">
        <v>219</v>
      </c>
      <c r="C363" s="41"/>
      <c r="D363" s="41"/>
      <c r="E363" s="41"/>
      <c r="F363" s="41"/>
      <c r="G363" s="62"/>
    </row>
    <row r="364" s="1" customFormat="1" ht="37.5" spans="1:7">
      <c r="A364" s="41"/>
      <c r="B364" s="42" t="s">
        <v>220</v>
      </c>
      <c r="C364" s="41"/>
      <c r="D364" s="41"/>
      <c r="E364" s="41"/>
      <c r="F364" s="41"/>
      <c r="G364" s="62"/>
    </row>
    <row r="365" s="1" customFormat="1" ht="18.75" spans="1:7">
      <c r="A365" s="41"/>
      <c r="B365" s="42" t="s">
        <v>221</v>
      </c>
      <c r="C365" s="41"/>
      <c r="D365" s="41"/>
      <c r="E365" s="41"/>
      <c r="F365" s="41"/>
      <c r="G365" s="62"/>
    </row>
    <row r="366" s="1" customFormat="1" ht="18.75" spans="1:7">
      <c r="A366" s="41"/>
      <c r="B366" s="42" t="s">
        <v>222</v>
      </c>
      <c r="C366" s="41"/>
      <c r="D366" s="41"/>
      <c r="E366" s="41"/>
      <c r="F366" s="41"/>
      <c r="G366" s="62"/>
    </row>
    <row r="367" s="1" customFormat="1" ht="18.75" spans="1:7">
      <c r="A367" s="41"/>
      <c r="B367" s="42" t="s">
        <v>223</v>
      </c>
      <c r="C367" s="41"/>
      <c r="D367" s="41"/>
      <c r="E367" s="41"/>
      <c r="F367" s="41"/>
      <c r="G367" s="62"/>
    </row>
    <row r="368" s="1" customFormat="1" ht="37.5" spans="1:7">
      <c r="A368" s="41"/>
      <c r="B368" s="42" t="s">
        <v>224</v>
      </c>
      <c r="C368" s="41"/>
      <c r="D368" s="41"/>
      <c r="E368" s="41"/>
      <c r="F368" s="41"/>
      <c r="G368" s="62"/>
    </row>
    <row r="369" s="1" customFormat="1" ht="18.75" spans="1:7">
      <c r="A369" s="41"/>
      <c r="B369" s="42" t="s">
        <v>225</v>
      </c>
      <c r="C369" s="41"/>
      <c r="D369" s="41"/>
      <c r="E369" s="41"/>
      <c r="F369" s="41"/>
      <c r="G369" s="62"/>
    </row>
    <row r="370" s="1" customFormat="1" ht="18.75" spans="1:7">
      <c r="A370" s="41"/>
      <c r="B370" s="42" t="s">
        <v>226</v>
      </c>
      <c r="C370" s="41"/>
      <c r="D370" s="41"/>
      <c r="E370" s="41"/>
      <c r="F370" s="41"/>
      <c r="G370" s="62"/>
    </row>
    <row r="371" s="1" customFormat="1" ht="18.75" spans="1:7">
      <c r="A371" s="41"/>
      <c r="B371" s="42" t="s">
        <v>227</v>
      </c>
      <c r="C371" s="41"/>
      <c r="D371" s="41"/>
      <c r="E371" s="41"/>
      <c r="F371" s="41"/>
      <c r="G371" s="62"/>
    </row>
    <row r="372" s="1" customFormat="1" ht="18.75" spans="1:7">
      <c r="A372" s="41"/>
      <c r="B372" s="42" t="s">
        <v>228</v>
      </c>
      <c r="C372" s="41"/>
      <c r="D372" s="41"/>
      <c r="E372" s="41"/>
      <c r="F372" s="41"/>
      <c r="G372" s="62"/>
    </row>
    <row r="373" s="1" customFormat="1" ht="18.75" spans="1:7">
      <c r="A373" s="41"/>
      <c r="B373" s="42" t="s">
        <v>229</v>
      </c>
      <c r="C373" s="41"/>
      <c r="D373" s="41"/>
      <c r="E373" s="41"/>
      <c r="F373" s="41"/>
      <c r="G373" s="62"/>
    </row>
    <row r="374" s="1" customFormat="1" ht="18.75" spans="1:7">
      <c r="A374" s="41"/>
      <c r="B374" s="42" t="s">
        <v>230</v>
      </c>
      <c r="C374" s="41"/>
      <c r="D374" s="41"/>
      <c r="E374" s="41"/>
      <c r="F374" s="41"/>
      <c r="G374" s="62"/>
    </row>
    <row r="375" s="1" customFormat="1" ht="18.75" spans="1:7">
      <c r="A375" s="41"/>
      <c r="B375" s="42" t="s">
        <v>231</v>
      </c>
      <c r="C375" s="41"/>
      <c r="D375" s="41"/>
      <c r="E375" s="41"/>
      <c r="F375" s="41"/>
      <c r="G375" s="62"/>
    </row>
    <row r="376" s="1" customFormat="1" ht="18.75" spans="1:7">
      <c r="A376" s="41"/>
      <c r="B376" s="42" t="s">
        <v>232</v>
      </c>
      <c r="C376" s="41"/>
      <c r="D376" s="41"/>
      <c r="E376" s="41"/>
      <c r="F376" s="41"/>
      <c r="G376" s="62"/>
    </row>
    <row r="377" s="1" customFormat="1" ht="37.5" spans="1:7">
      <c r="A377" s="41"/>
      <c r="B377" s="42" t="s">
        <v>233</v>
      </c>
      <c r="C377" s="41"/>
      <c r="D377" s="41"/>
      <c r="E377" s="41"/>
      <c r="F377" s="41"/>
      <c r="G377" s="62"/>
    </row>
    <row r="378" s="1" customFormat="1" ht="18.75" spans="1:7">
      <c r="A378" s="41"/>
      <c r="B378" s="42" t="s">
        <v>234</v>
      </c>
      <c r="C378" s="41"/>
      <c r="D378" s="41"/>
      <c r="E378" s="41"/>
      <c r="F378" s="41"/>
      <c r="G378" s="62"/>
    </row>
    <row r="379" s="1" customFormat="1" ht="37.5" spans="1:7">
      <c r="A379" s="41"/>
      <c r="B379" s="42" t="s">
        <v>235</v>
      </c>
      <c r="C379" s="41"/>
      <c r="D379" s="41"/>
      <c r="E379" s="41"/>
      <c r="F379" s="41"/>
      <c r="G379" s="62"/>
    </row>
    <row r="380" s="1" customFormat="1" ht="18.75" spans="1:7">
      <c r="A380" s="41">
        <v>3</v>
      </c>
      <c r="B380" s="42" t="s">
        <v>236</v>
      </c>
      <c r="C380" s="41">
        <v>1</v>
      </c>
      <c r="D380" s="41"/>
      <c r="E380" s="41"/>
      <c r="F380" s="41">
        <v>1</v>
      </c>
      <c r="G380" s="62"/>
    </row>
    <row r="381" s="1" customFormat="1" ht="37.5" spans="1:7">
      <c r="A381" s="41">
        <v>4</v>
      </c>
      <c r="B381" s="42" t="s">
        <v>237</v>
      </c>
      <c r="C381" s="41">
        <v>33</v>
      </c>
      <c r="D381" s="41">
        <v>9</v>
      </c>
      <c r="E381" s="41">
        <v>24</v>
      </c>
      <c r="F381" s="41"/>
      <c r="G381" s="62"/>
    </row>
    <row r="382" s="1" customFormat="1" ht="18.75" spans="1:7">
      <c r="A382" s="41"/>
      <c r="B382" s="42" t="s">
        <v>238</v>
      </c>
      <c r="C382" s="41"/>
      <c r="D382" s="41"/>
      <c r="E382" s="41"/>
      <c r="F382" s="41"/>
      <c r="G382" s="62"/>
    </row>
    <row r="383" s="1" customFormat="1" ht="18.75" spans="1:7">
      <c r="A383" s="41"/>
      <c r="B383" s="42" t="s">
        <v>239</v>
      </c>
      <c r="C383" s="41"/>
      <c r="D383" s="41"/>
      <c r="E383" s="41"/>
      <c r="F383" s="41"/>
      <c r="G383" s="62"/>
    </row>
    <row r="384" s="1" customFormat="1" ht="18.75" spans="1:7">
      <c r="A384" s="41"/>
      <c r="B384" s="42" t="s">
        <v>240</v>
      </c>
      <c r="C384" s="41"/>
      <c r="D384" s="41"/>
      <c r="E384" s="41"/>
      <c r="F384" s="41"/>
      <c r="G384" s="62"/>
    </row>
    <row r="385" s="1" customFormat="1" ht="18.75" spans="1:7">
      <c r="A385" s="41"/>
      <c r="B385" s="42" t="s">
        <v>241</v>
      </c>
      <c r="C385" s="41"/>
      <c r="D385" s="41"/>
      <c r="E385" s="41"/>
      <c r="F385" s="41"/>
      <c r="G385" s="62"/>
    </row>
    <row r="386" s="1" customFormat="1" ht="18.75" spans="1:7">
      <c r="A386" s="41"/>
      <c r="B386" s="42" t="s">
        <v>242</v>
      </c>
      <c r="C386" s="41"/>
      <c r="D386" s="41"/>
      <c r="E386" s="41"/>
      <c r="F386" s="41"/>
      <c r="G386" s="62"/>
    </row>
    <row r="387" s="1" customFormat="1" ht="18.75" spans="1:7">
      <c r="A387" s="41"/>
      <c r="B387" s="42" t="s">
        <v>243</v>
      </c>
      <c r="C387" s="41"/>
      <c r="D387" s="41"/>
      <c r="E387" s="41"/>
      <c r="F387" s="41"/>
      <c r="G387" s="62"/>
    </row>
    <row r="388" s="1" customFormat="1" ht="37.5" spans="1:7">
      <c r="A388" s="41"/>
      <c r="B388" s="42" t="s">
        <v>244</v>
      </c>
      <c r="C388" s="41"/>
      <c r="D388" s="41"/>
      <c r="E388" s="41"/>
      <c r="F388" s="41"/>
      <c r="G388" s="62"/>
    </row>
    <row r="389" s="1" customFormat="1" ht="18.75" spans="1:7">
      <c r="A389" s="41"/>
      <c r="B389" s="42" t="s">
        <v>245</v>
      </c>
      <c r="C389" s="41"/>
      <c r="D389" s="41"/>
      <c r="E389" s="41"/>
      <c r="F389" s="41"/>
      <c r="G389" s="62"/>
    </row>
    <row r="390" s="1" customFormat="1" ht="18.75" spans="1:7">
      <c r="A390" s="41"/>
      <c r="B390" s="42" t="s">
        <v>246</v>
      </c>
      <c r="C390" s="41"/>
      <c r="D390" s="41"/>
      <c r="E390" s="41"/>
      <c r="F390" s="41"/>
      <c r="G390" s="62"/>
    </row>
    <row r="391" s="1" customFormat="1" ht="18.75" spans="1:7">
      <c r="A391" s="41"/>
      <c r="B391" s="42" t="s">
        <v>247</v>
      </c>
      <c r="C391" s="41"/>
      <c r="D391" s="41"/>
      <c r="E391" s="41"/>
      <c r="F391" s="41"/>
      <c r="G391" s="62"/>
    </row>
    <row r="392" s="1" customFormat="1" ht="18.75" spans="1:7">
      <c r="A392" s="41"/>
      <c r="B392" s="42" t="s">
        <v>248</v>
      </c>
      <c r="C392" s="41"/>
      <c r="D392" s="41"/>
      <c r="E392" s="41"/>
      <c r="F392" s="41"/>
      <c r="G392" s="62"/>
    </row>
    <row r="393" s="1" customFormat="1" ht="18.75" spans="1:7">
      <c r="A393" s="41"/>
      <c r="B393" s="42" t="s">
        <v>249</v>
      </c>
      <c r="C393" s="41"/>
      <c r="D393" s="41"/>
      <c r="E393" s="41"/>
      <c r="F393" s="41"/>
      <c r="G393" s="62"/>
    </row>
    <row r="394" s="1" customFormat="1" ht="18.75" spans="1:7">
      <c r="A394" s="41"/>
      <c r="B394" s="42" t="s">
        <v>250</v>
      </c>
      <c r="C394" s="41"/>
      <c r="D394" s="41"/>
      <c r="E394" s="41"/>
      <c r="F394" s="41"/>
      <c r="G394" s="62"/>
    </row>
    <row r="395" s="1" customFormat="1" ht="18.75" spans="1:7">
      <c r="A395" s="41"/>
      <c r="B395" s="42" t="s">
        <v>251</v>
      </c>
      <c r="C395" s="41"/>
      <c r="D395" s="41"/>
      <c r="E395" s="41"/>
      <c r="F395" s="41"/>
      <c r="G395" s="62"/>
    </row>
    <row r="396" s="1" customFormat="1" ht="18.75" spans="1:7">
      <c r="A396" s="41"/>
      <c r="B396" s="42" t="s">
        <v>252</v>
      </c>
      <c r="C396" s="41"/>
      <c r="D396" s="41"/>
      <c r="E396" s="41"/>
      <c r="F396" s="41"/>
      <c r="G396" s="62"/>
    </row>
    <row r="397" s="1" customFormat="1" ht="18.75" spans="1:7">
      <c r="A397" s="41"/>
      <c r="B397" s="42" t="s">
        <v>253</v>
      </c>
      <c r="C397" s="41"/>
      <c r="D397" s="41"/>
      <c r="E397" s="41"/>
      <c r="F397" s="41"/>
      <c r="G397" s="62"/>
    </row>
    <row r="398" s="1" customFormat="1" ht="18.75" spans="1:7">
      <c r="A398" s="41"/>
      <c r="B398" s="42" t="s">
        <v>254</v>
      </c>
      <c r="C398" s="41"/>
      <c r="D398" s="41"/>
      <c r="E398" s="41"/>
      <c r="F398" s="41"/>
      <c r="G398" s="62"/>
    </row>
    <row r="399" s="1" customFormat="1" ht="18.75" spans="1:7">
      <c r="A399" s="41"/>
      <c r="B399" s="42" t="s">
        <v>255</v>
      </c>
      <c r="C399" s="41"/>
      <c r="D399" s="41"/>
      <c r="E399" s="41"/>
      <c r="F399" s="41"/>
      <c r="G399" s="62"/>
    </row>
    <row r="400" s="1" customFormat="1" ht="18.75" spans="1:7">
      <c r="A400" s="41"/>
      <c r="B400" s="42" t="s">
        <v>256</v>
      </c>
      <c r="C400" s="41"/>
      <c r="D400" s="41"/>
      <c r="E400" s="41"/>
      <c r="F400" s="41"/>
      <c r="G400" s="62"/>
    </row>
    <row r="401" s="1" customFormat="1" ht="37.5" spans="1:7">
      <c r="A401" s="41"/>
      <c r="B401" s="42" t="s">
        <v>257</v>
      </c>
      <c r="C401" s="41"/>
      <c r="D401" s="41"/>
      <c r="E401" s="41"/>
      <c r="F401" s="41"/>
      <c r="G401" s="62"/>
    </row>
    <row r="402" s="1" customFormat="1" ht="37.5" spans="1:7">
      <c r="A402" s="41"/>
      <c r="B402" s="42" t="s">
        <v>258</v>
      </c>
      <c r="C402" s="41"/>
      <c r="D402" s="41"/>
      <c r="E402" s="41"/>
      <c r="F402" s="41"/>
      <c r="G402" s="62"/>
    </row>
    <row r="403" s="1" customFormat="1" ht="18.75" spans="1:7">
      <c r="A403" s="41"/>
      <c r="B403" s="42" t="s">
        <v>259</v>
      </c>
      <c r="C403" s="41"/>
      <c r="D403" s="41"/>
      <c r="E403" s="41"/>
      <c r="F403" s="41"/>
      <c r="G403" s="62"/>
    </row>
    <row r="404" s="1" customFormat="1" ht="18.75" spans="1:7">
      <c r="A404" s="41"/>
      <c r="B404" s="42" t="s">
        <v>260</v>
      </c>
      <c r="C404" s="41"/>
      <c r="D404" s="41"/>
      <c r="E404" s="41"/>
      <c r="F404" s="41"/>
      <c r="G404" s="62"/>
    </row>
    <row r="405" s="1" customFormat="1" ht="18.75" spans="1:7">
      <c r="A405" s="41"/>
      <c r="B405" s="42" t="s">
        <v>261</v>
      </c>
      <c r="C405" s="41"/>
      <c r="D405" s="41"/>
      <c r="E405" s="41"/>
      <c r="F405" s="41"/>
      <c r="G405" s="62"/>
    </row>
    <row r="406" s="1" customFormat="1" ht="18.75" spans="1:7">
      <c r="A406" s="41"/>
      <c r="B406" s="42" t="s">
        <v>262</v>
      </c>
      <c r="C406" s="41"/>
      <c r="D406" s="41"/>
      <c r="E406" s="41"/>
      <c r="F406" s="41"/>
      <c r="G406" s="62"/>
    </row>
    <row r="407" s="1" customFormat="1" ht="18.75" spans="1:7">
      <c r="A407" s="41">
        <v>5</v>
      </c>
      <c r="B407" s="42" t="s">
        <v>263</v>
      </c>
      <c r="C407" s="41">
        <v>1</v>
      </c>
      <c r="D407" s="41"/>
      <c r="E407" s="41"/>
      <c r="F407" s="41">
        <v>1</v>
      </c>
      <c r="G407" s="62"/>
    </row>
    <row r="408" s="1" customFormat="1" ht="37.5" spans="1:7">
      <c r="A408" s="41">
        <v>6</v>
      </c>
      <c r="B408" s="42" t="s">
        <v>264</v>
      </c>
      <c r="C408" s="41">
        <v>8</v>
      </c>
      <c r="D408" s="41">
        <v>2</v>
      </c>
      <c r="E408" s="41">
        <v>6</v>
      </c>
      <c r="F408" s="41"/>
      <c r="G408" s="62"/>
    </row>
    <row r="409" s="1" customFormat="1" ht="37.5" spans="1:7">
      <c r="A409" s="41"/>
      <c r="B409" s="42" t="s">
        <v>265</v>
      </c>
      <c r="C409" s="41"/>
      <c r="D409" s="41"/>
      <c r="E409" s="41"/>
      <c r="F409" s="41"/>
      <c r="G409" s="62"/>
    </row>
    <row r="410" s="1" customFormat="1" ht="37.5" spans="1:7">
      <c r="A410" s="41"/>
      <c r="B410" s="42" t="s">
        <v>266</v>
      </c>
      <c r="C410" s="41"/>
      <c r="D410" s="41"/>
      <c r="E410" s="41"/>
      <c r="F410" s="41"/>
      <c r="G410" s="62"/>
    </row>
    <row r="411" s="1" customFormat="1" ht="37.5" spans="1:7">
      <c r="A411" s="41"/>
      <c r="B411" s="42" t="s">
        <v>267</v>
      </c>
      <c r="C411" s="41"/>
      <c r="D411" s="41"/>
      <c r="E411" s="41"/>
      <c r="F411" s="41"/>
      <c r="G411" s="62"/>
    </row>
    <row r="412" s="1" customFormat="1" ht="37.5" spans="1:7">
      <c r="A412" s="41"/>
      <c r="B412" s="42" t="s">
        <v>268</v>
      </c>
      <c r="C412" s="41"/>
      <c r="D412" s="41"/>
      <c r="E412" s="41"/>
      <c r="F412" s="41"/>
      <c r="G412" s="62"/>
    </row>
    <row r="413" s="1" customFormat="1" ht="18.75" spans="1:7">
      <c r="A413" s="41"/>
      <c r="B413" s="42" t="s">
        <v>269</v>
      </c>
      <c r="C413" s="41"/>
      <c r="D413" s="41"/>
      <c r="E413" s="41"/>
      <c r="F413" s="41"/>
      <c r="G413" s="62"/>
    </row>
    <row r="414" s="1" customFormat="1" ht="18.75" spans="1:7">
      <c r="A414" s="41"/>
      <c r="B414" s="42" t="s">
        <v>270</v>
      </c>
      <c r="C414" s="41"/>
      <c r="D414" s="41"/>
      <c r="E414" s="41"/>
      <c r="F414" s="41"/>
      <c r="G414" s="62"/>
    </row>
    <row r="415" s="1" customFormat="1" ht="37.5" spans="1:7">
      <c r="A415" s="41"/>
      <c r="B415" s="42" t="s">
        <v>271</v>
      </c>
      <c r="C415" s="41"/>
      <c r="D415" s="41"/>
      <c r="E415" s="41"/>
      <c r="F415" s="41"/>
      <c r="G415" s="62"/>
    </row>
    <row r="416" s="1" customFormat="1" ht="18.75" spans="1:7">
      <c r="A416" s="41"/>
      <c r="B416" s="42" t="s">
        <v>272</v>
      </c>
      <c r="C416" s="41"/>
      <c r="D416" s="41"/>
      <c r="E416" s="41"/>
      <c r="F416" s="41"/>
      <c r="G416" s="62"/>
    </row>
    <row r="417" s="1" customFormat="1" ht="18.75" spans="1:7">
      <c r="A417" s="41"/>
      <c r="B417" s="42" t="s">
        <v>273</v>
      </c>
      <c r="C417" s="41"/>
      <c r="D417" s="41"/>
      <c r="E417" s="41"/>
      <c r="F417" s="41"/>
      <c r="G417" s="62"/>
    </row>
    <row r="418" s="1" customFormat="1" ht="18.75" spans="1:7">
      <c r="A418" s="41"/>
      <c r="B418" s="42" t="s">
        <v>274</v>
      </c>
      <c r="C418" s="41"/>
      <c r="D418" s="41"/>
      <c r="E418" s="41"/>
      <c r="F418" s="41"/>
      <c r="G418" s="62"/>
    </row>
    <row r="419" s="1" customFormat="1" ht="37.5" spans="1:7">
      <c r="A419" s="41">
        <v>7</v>
      </c>
      <c r="B419" s="42" t="s">
        <v>275</v>
      </c>
      <c r="C419" s="41">
        <v>6</v>
      </c>
      <c r="D419" s="41">
        <v>2</v>
      </c>
      <c r="E419" s="41">
        <v>4</v>
      </c>
      <c r="F419" s="41"/>
      <c r="G419" s="62"/>
    </row>
    <row r="420" s="1" customFormat="1" ht="18.75" spans="1:7">
      <c r="A420" s="41"/>
      <c r="B420" s="42" t="s">
        <v>276</v>
      </c>
      <c r="C420" s="41"/>
      <c r="D420" s="41"/>
      <c r="E420" s="41"/>
      <c r="F420" s="41"/>
      <c r="G420" s="62"/>
    </row>
    <row r="421" s="1" customFormat="1" ht="18.75" spans="1:7">
      <c r="A421" s="41"/>
      <c r="B421" s="42" t="s">
        <v>277</v>
      </c>
      <c r="C421" s="41"/>
      <c r="D421" s="41"/>
      <c r="E421" s="41"/>
      <c r="F421" s="41"/>
      <c r="G421" s="62"/>
    </row>
    <row r="422" s="1" customFormat="1" ht="18.75" spans="1:7">
      <c r="A422" s="41"/>
      <c r="B422" s="42" t="s">
        <v>278</v>
      </c>
      <c r="C422" s="41"/>
      <c r="D422" s="41"/>
      <c r="E422" s="41"/>
      <c r="F422" s="41"/>
      <c r="G422" s="62"/>
    </row>
    <row r="423" s="1" customFormat="1" ht="18.75" spans="1:7">
      <c r="A423" s="41"/>
      <c r="B423" s="42" t="s">
        <v>279</v>
      </c>
      <c r="C423" s="41"/>
      <c r="D423" s="41"/>
      <c r="E423" s="41"/>
      <c r="F423" s="41"/>
      <c r="G423" s="62"/>
    </row>
    <row r="424" s="1" customFormat="1" ht="18.75" spans="1:7">
      <c r="A424" s="41"/>
      <c r="B424" s="42" t="s">
        <v>280</v>
      </c>
      <c r="C424" s="41"/>
      <c r="D424" s="41"/>
      <c r="E424" s="41"/>
      <c r="F424" s="41"/>
      <c r="G424" s="62"/>
    </row>
    <row r="425" s="1" customFormat="1" ht="37.5" spans="1:7">
      <c r="A425" s="41"/>
      <c r="B425" s="42" t="s">
        <v>281</v>
      </c>
      <c r="C425" s="41"/>
      <c r="D425" s="41"/>
      <c r="E425" s="41"/>
      <c r="F425" s="41"/>
      <c r="G425" s="62"/>
    </row>
    <row r="426" s="1" customFormat="1" ht="37.5" spans="1:7">
      <c r="A426" s="41"/>
      <c r="B426" s="42" t="s">
        <v>282</v>
      </c>
      <c r="C426" s="41"/>
      <c r="D426" s="41"/>
      <c r="E426" s="41"/>
      <c r="F426" s="41"/>
      <c r="G426" s="62"/>
    </row>
    <row r="427" s="1" customFormat="1" ht="37.5" spans="1:7">
      <c r="A427" s="41"/>
      <c r="B427" s="42" t="s">
        <v>283</v>
      </c>
      <c r="C427" s="41"/>
      <c r="D427" s="41"/>
      <c r="E427" s="41"/>
      <c r="F427" s="41"/>
      <c r="G427" s="62"/>
    </row>
    <row r="428" s="1" customFormat="1" ht="37.5" spans="1:7">
      <c r="A428" s="41">
        <v>8</v>
      </c>
      <c r="B428" s="42" t="s">
        <v>284</v>
      </c>
      <c r="C428" s="41">
        <v>8</v>
      </c>
      <c r="D428" s="41">
        <v>2</v>
      </c>
      <c r="E428" s="41">
        <v>6</v>
      </c>
      <c r="F428" s="41"/>
      <c r="G428" s="62"/>
    </row>
    <row r="429" s="1" customFormat="1" ht="37.5" spans="1:7">
      <c r="A429" s="41"/>
      <c r="B429" s="42" t="s">
        <v>285</v>
      </c>
      <c r="C429" s="41"/>
      <c r="D429" s="41"/>
      <c r="E429" s="41"/>
      <c r="F429" s="41"/>
      <c r="G429" s="62"/>
    </row>
    <row r="430" s="1" customFormat="1" ht="37.5" spans="1:7">
      <c r="A430" s="41"/>
      <c r="B430" s="42" t="s">
        <v>286</v>
      </c>
      <c r="C430" s="41"/>
      <c r="D430" s="41"/>
      <c r="E430" s="41"/>
      <c r="F430" s="41"/>
      <c r="G430" s="62"/>
    </row>
    <row r="431" s="1" customFormat="1" ht="37.5" spans="1:7">
      <c r="A431" s="41"/>
      <c r="B431" s="42" t="s">
        <v>287</v>
      </c>
      <c r="C431" s="41"/>
      <c r="D431" s="41"/>
      <c r="E431" s="41"/>
      <c r="F431" s="41"/>
      <c r="G431" s="62"/>
    </row>
    <row r="432" s="1" customFormat="1" ht="37.5" spans="1:7">
      <c r="A432" s="41"/>
      <c r="B432" s="42" t="s">
        <v>288</v>
      </c>
      <c r="C432" s="41"/>
      <c r="D432" s="41"/>
      <c r="E432" s="41"/>
      <c r="F432" s="41"/>
      <c r="G432" s="62"/>
    </row>
    <row r="433" s="1" customFormat="1" ht="18.75" spans="1:7">
      <c r="A433" s="41"/>
      <c r="B433" s="42" t="s">
        <v>289</v>
      </c>
      <c r="C433" s="41"/>
      <c r="D433" s="41"/>
      <c r="E433" s="41"/>
      <c r="F433" s="41"/>
      <c r="G433" s="62"/>
    </row>
    <row r="434" s="1" customFormat="1" ht="18.75" spans="1:7">
      <c r="A434" s="41"/>
      <c r="B434" s="42" t="s">
        <v>290</v>
      </c>
      <c r="C434" s="41"/>
      <c r="D434" s="41"/>
      <c r="E434" s="41"/>
      <c r="F434" s="41"/>
      <c r="G434" s="62"/>
    </row>
    <row r="435" s="1" customFormat="1" ht="18.75" spans="1:7">
      <c r="A435" s="41">
        <v>9</v>
      </c>
      <c r="B435" s="42" t="s">
        <v>133</v>
      </c>
      <c r="C435" s="41">
        <v>1</v>
      </c>
      <c r="D435" s="41"/>
      <c r="E435" s="41"/>
      <c r="F435" s="41">
        <v>1</v>
      </c>
      <c r="G435" s="62"/>
    </row>
    <row r="436" s="1" customFormat="1" ht="18.75" spans="1:7">
      <c r="A436" s="6"/>
      <c r="B436" s="63" t="s">
        <v>59</v>
      </c>
      <c r="C436" s="6">
        <f t="shared" ref="C436:F436" si="69">SUM(C344:C435)</f>
        <v>88</v>
      </c>
      <c r="D436" s="6">
        <f t="shared" si="69"/>
        <v>21</v>
      </c>
      <c r="E436" s="6">
        <f t="shared" si="69"/>
        <v>64</v>
      </c>
      <c r="F436" s="6">
        <f t="shared" si="69"/>
        <v>3</v>
      </c>
      <c r="G436" s="62"/>
    </row>
    <row r="437" s="1" customFormat="1" ht="37.95" customHeight="1" spans="1:7">
      <c r="B437" s="64" t="s">
        <v>291</v>
      </c>
      <c r="C437" s="40"/>
      <c r="D437" s="40"/>
      <c r="E437" s="40"/>
      <c r="F437" s="65"/>
      <c r="G437" s="66"/>
    </row>
    <row r="438" s="1" customFormat="1" ht="18.75" spans="1:7">
      <c r="A438" s="2" t="s">
        <v>292</v>
      </c>
      <c r="B438" s="31" t="str">
        <f>VLOOKUP(A438,$A$7:$B$50,2,FALSE)</f>
        <v>Xác suất, thống kê y học</v>
      </c>
      <c r="G438" s="66"/>
    </row>
    <row r="439" s="1" customFormat="1" ht="18.75" spans="1:7">
      <c r="A439" s="46" t="s">
        <v>79</v>
      </c>
      <c r="B439" s="46" t="s">
        <v>80</v>
      </c>
      <c r="C439" s="46" t="s">
        <v>81</v>
      </c>
      <c r="D439" s="46"/>
      <c r="E439" s="46"/>
      <c r="F439" s="46"/>
      <c r="G439" s="66"/>
    </row>
    <row r="440" s="1" customFormat="1" ht="75" spans="1:7">
      <c r="A440" s="47"/>
      <c r="B440" s="47"/>
      <c r="C440" s="47" t="s">
        <v>7</v>
      </c>
      <c r="D440" s="47" t="s">
        <v>9</v>
      </c>
      <c r="E440" s="47" t="s">
        <v>82</v>
      </c>
      <c r="F440" s="47" t="s">
        <v>11</v>
      </c>
      <c r="G440" s="66"/>
    </row>
    <row r="441" s="1" customFormat="1" ht="18.75" spans="1:7">
      <c r="A441" s="41">
        <v>1</v>
      </c>
      <c r="B441" s="67" t="s">
        <v>293</v>
      </c>
      <c r="C441" s="68">
        <v>4</v>
      </c>
      <c r="D441" s="68">
        <v>2</v>
      </c>
      <c r="E441" s="68">
        <v>2</v>
      </c>
      <c r="F441" s="68"/>
      <c r="G441" s="66"/>
    </row>
    <row r="442" s="1" customFormat="1" ht="18.75" spans="1:7">
      <c r="A442" s="41">
        <v>2</v>
      </c>
      <c r="B442" s="67" t="s">
        <v>294</v>
      </c>
      <c r="C442" s="68">
        <v>4</v>
      </c>
      <c r="D442" s="68">
        <v>2</v>
      </c>
      <c r="E442" s="68">
        <v>2</v>
      </c>
      <c r="F442" s="68"/>
      <c r="G442" s="66"/>
    </row>
    <row r="443" s="1" customFormat="1" ht="18.75" spans="1:7">
      <c r="A443" s="41">
        <v>3</v>
      </c>
      <c r="B443" s="67" t="s">
        <v>295</v>
      </c>
      <c r="C443" s="68">
        <v>6</v>
      </c>
      <c r="D443" s="68">
        <v>2</v>
      </c>
      <c r="E443" s="68">
        <v>4</v>
      </c>
      <c r="F443" s="68"/>
      <c r="G443" s="66"/>
    </row>
    <row r="444" s="1" customFormat="1" ht="18.75" spans="1:7">
      <c r="A444" s="41">
        <v>4</v>
      </c>
      <c r="B444" s="67" t="s">
        <v>296</v>
      </c>
      <c r="C444" s="68">
        <v>6</v>
      </c>
      <c r="D444" s="68">
        <v>2</v>
      </c>
      <c r="E444" s="68">
        <v>4</v>
      </c>
      <c r="F444" s="68"/>
      <c r="G444" s="66"/>
    </row>
    <row r="445" s="1" customFormat="1" ht="18.75" spans="1:7">
      <c r="A445" s="41">
        <v>5</v>
      </c>
      <c r="B445" s="67" t="s">
        <v>297</v>
      </c>
      <c r="C445" s="68">
        <v>7</v>
      </c>
      <c r="D445" s="68">
        <v>2</v>
      </c>
      <c r="E445" s="68">
        <v>4</v>
      </c>
      <c r="F445" s="68">
        <v>1</v>
      </c>
      <c r="G445" s="66"/>
    </row>
    <row r="446" s="1" customFormat="1" ht="18.75" spans="1:7">
      <c r="A446" s="6"/>
      <c r="B446" s="6" t="s">
        <v>59</v>
      </c>
      <c r="C446" s="32">
        <f t="shared" ref="C446:F446" si="70">SUM(C441:C445)</f>
        <v>27</v>
      </c>
      <c r="D446" s="32">
        <f t="shared" si="70"/>
        <v>10</v>
      </c>
      <c r="E446" s="32">
        <f t="shared" si="70"/>
        <v>16</v>
      </c>
      <c r="F446" s="32">
        <f t="shared" si="70"/>
        <v>1</v>
      </c>
    </row>
    <row r="447" s="1" customFormat="1" ht="35.7" customHeight="1" spans="1:7">
      <c r="B447" s="60" t="s">
        <v>298</v>
      </c>
      <c r="C447" s="60"/>
      <c r="D447" s="60"/>
      <c r="E447" s="60"/>
      <c r="F447" s="61"/>
    </row>
    <row r="448" s="1" customFormat="1" ht="18.75" spans="1:7">
      <c r="A448" s="2" t="s">
        <v>299</v>
      </c>
      <c r="B448" s="31" t="str">
        <f>VLOOKUP(A448,$A$7:$B$50,2,FALSE)</f>
        <v>Phương pháp nghiên cứu khoa học</v>
      </c>
    </row>
    <row r="449" s="1" customFormat="1" ht="18.75" spans="1:6">
      <c r="A449" s="46" t="s">
        <v>79</v>
      </c>
      <c r="B449" s="46" t="s">
        <v>80</v>
      </c>
      <c r="C449" s="46" t="s">
        <v>81</v>
      </c>
      <c r="D449" s="46"/>
      <c r="E449" s="46"/>
      <c r="F449" s="46"/>
    </row>
    <row r="450" s="1" customFormat="1" ht="75" spans="1:6">
      <c r="A450" s="47"/>
      <c r="B450" s="47"/>
      <c r="C450" s="47" t="s">
        <v>7</v>
      </c>
      <c r="D450" s="47" t="s">
        <v>9</v>
      </c>
      <c r="E450" s="47" t="s">
        <v>82</v>
      </c>
      <c r="F450" s="47" t="s">
        <v>11</v>
      </c>
    </row>
    <row r="451" s="1" customFormat="1" ht="37.5" spans="1:6">
      <c r="A451" s="14">
        <v>1</v>
      </c>
      <c r="B451" s="55" t="s">
        <v>300</v>
      </c>
      <c r="C451" s="14">
        <v>6</v>
      </c>
      <c r="D451" s="14">
        <v>2</v>
      </c>
      <c r="E451" s="14">
        <v>4</v>
      </c>
      <c r="F451" s="14"/>
    </row>
    <row r="452" s="1" customFormat="1" ht="37.5" spans="1:6">
      <c r="A452" s="14">
        <v>2</v>
      </c>
      <c r="B452" s="55" t="s">
        <v>301</v>
      </c>
      <c r="C452" s="14">
        <v>5</v>
      </c>
      <c r="D452" s="14">
        <v>2</v>
      </c>
      <c r="E452" s="14">
        <v>3</v>
      </c>
      <c r="F452" s="14"/>
    </row>
    <row r="453" s="1" customFormat="1" ht="37.5" spans="1:6">
      <c r="A453" s="14">
        <v>3</v>
      </c>
      <c r="B453" s="54" t="s">
        <v>302</v>
      </c>
      <c r="C453" s="14">
        <v>5</v>
      </c>
      <c r="D453" s="14">
        <v>2</v>
      </c>
      <c r="E453" s="14">
        <v>3</v>
      </c>
      <c r="F453" s="14"/>
    </row>
    <row r="454" s="1" customFormat="1" ht="37.5" spans="1:6">
      <c r="A454" s="14">
        <v>4</v>
      </c>
      <c r="B454" s="54" t="s">
        <v>303</v>
      </c>
      <c r="C454" s="14">
        <v>5</v>
      </c>
      <c r="D454" s="14">
        <v>2</v>
      </c>
      <c r="E454" s="14">
        <v>3</v>
      </c>
      <c r="F454" s="14"/>
    </row>
    <row r="455" s="1" customFormat="1" ht="56.25" spans="1:6">
      <c r="A455" s="14">
        <v>5</v>
      </c>
      <c r="B455" s="55" t="s">
        <v>304</v>
      </c>
      <c r="C455" s="14">
        <v>5</v>
      </c>
      <c r="D455" s="14">
        <v>2</v>
      </c>
      <c r="E455" s="14">
        <v>3</v>
      </c>
      <c r="F455" s="14"/>
    </row>
    <row r="456" s="1" customFormat="1" ht="18.75" spans="1:6">
      <c r="A456" s="14">
        <v>6</v>
      </c>
      <c r="B456" s="55" t="s">
        <v>305</v>
      </c>
      <c r="C456" s="14">
        <v>1</v>
      </c>
      <c r="D456" s="14"/>
      <c r="E456" s="14"/>
      <c r="F456" s="14">
        <v>1</v>
      </c>
    </row>
    <row r="457" s="1" customFormat="1" ht="18.75" spans="1:6">
      <c r="A457" s="6"/>
      <c r="B457" s="6" t="s">
        <v>69</v>
      </c>
      <c r="C457" s="32">
        <f t="shared" ref="C457:F457" si="71">SUM(C451:C456)</f>
        <v>27</v>
      </c>
      <c r="D457" s="32">
        <f t="shared" si="71"/>
        <v>10</v>
      </c>
      <c r="E457" s="32">
        <f t="shared" si="71"/>
        <v>16</v>
      </c>
      <c r="F457" s="32">
        <f t="shared" si="71"/>
        <v>1</v>
      </c>
    </row>
    <row r="458" s="1" customFormat="1" ht="34.95" customHeight="1" spans="1:6">
      <c r="B458" s="59" t="s">
        <v>306</v>
      </c>
      <c r="C458" s="60"/>
      <c r="D458" s="60"/>
      <c r="E458" s="60"/>
      <c r="F458" s="61"/>
    </row>
    <row r="459" s="1" customFormat="1" ht="18.75" spans="1:6">
      <c r="A459" s="2" t="s">
        <v>307</v>
      </c>
      <c r="B459" s="31" t="str">
        <f>VLOOKUP(A459,$A$7:$B$50,2,FALSE)</f>
        <v>Hóa đại cương - Hóa vô cơ</v>
      </c>
    </row>
    <row r="460" s="1" customFormat="1" ht="18.75" spans="1:6">
      <c r="A460" s="46" t="s">
        <v>79</v>
      </c>
      <c r="B460" s="46" t="s">
        <v>80</v>
      </c>
      <c r="C460" s="46" t="s">
        <v>81</v>
      </c>
      <c r="D460" s="46"/>
      <c r="E460" s="46"/>
      <c r="F460" s="46"/>
    </row>
    <row r="461" s="1" customFormat="1" ht="75" spans="1:6">
      <c r="A461" s="47"/>
      <c r="B461" s="47"/>
      <c r="C461" s="47" t="s">
        <v>7</v>
      </c>
      <c r="D461" s="47" t="s">
        <v>9</v>
      </c>
      <c r="E461" s="47" t="s">
        <v>82</v>
      </c>
      <c r="F461" s="47" t="s">
        <v>11</v>
      </c>
    </row>
    <row r="462" s="1" customFormat="1" ht="18.75" spans="1:6">
      <c r="A462" s="56"/>
      <c r="B462" s="69" t="s">
        <v>308</v>
      </c>
      <c r="C462" s="8">
        <v>28</v>
      </c>
      <c r="D462" s="8">
        <v>28</v>
      </c>
      <c r="E462" s="8"/>
      <c r="F462" s="8"/>
    </row>
    <row r="463" s="1" customFormat="1" ht="37.5" spans="1:6">
      <c r="A463" s="56">
        <v>1</v>
      </c>
      <c r="B463" s="57" t="s">
        <v>309</v>
      </c>
      <c r="C463" s="56">
        <v>3</v>
      </c>
      <c r="D463" s="56">
        <v>3</v>
      </c>
      <c r="E463" s="56"/>
      <c r="F463" s="56"/>
    </row>
    <row r="464" s="1" customFormat="1" ht="56.25" spans="1:6">
      <c r="A464" s="56">
        <v>2</v>
      </c>
      <c r="B464" s="57" t="s">
        <v>310</v>
      </c>
      <c r="C464" s="56">
        <v>3</v>
      </c>
      <c r="D464" s="56">
        <v>3</v>
      </c>
      <c r="E464" s="56"/>
      <c r="F464" s="56"/>
    </row>
    <row r="465" s="1" customFormat="1" ht="37.5" spans="1:6">
      <c r="A465" s="56">
        <v>3</v>
      </c>
      <c r="B465" s="57" t="s">
        <v>311</v>
      </c>
      <c r="C465" s="56">
        <v>3</v>
      </c>
      <c r="D465" s="56">
        <v>3</v>
      </c>
      <c r="E465" s="56"/>
      <c r="F465" s="56"/>
    </row>
    <row r="466" s="1" customFormat="1" ht="18.75" spans="1:6">
      <c r="A466" s="56">
        <v>4</v>
      </c>
      <c r="B466" s="57" t="s">
        <v>312</v>
      </c>
      <c r="C466" s="56">
        <v>3</v>
      </c>
      <c r="D466" s="56">
        <v>3</v>
      </c>
      <c r="E466" s="56"/>
      <c r="F466" s="56"/>
    </row>
    <row r="467" s="1" customFormat="1" ht="18.75" spans="1:6">
      <c r="A467" s="56">
        <v>5</v>
      </c>
      <c r="B467" s="57" t="s">
        <v>313</v>
      </c>
      <c r="C467" s="56">
        <v>2</v>
      </c>
      <c r="D467" s="56">
        <v>2</v>
      </c>
      <c r="E467" s="56"/>
      <c r="F467" s="56"/>
    </row>
    <row r="468" s="1" customFormat="1" ht="37.5" spans="1:6">
      <c r="A468" s="56">
        <v>6</v>
      </c>
      <c r="B468" s="57" t="s">
        <v>314</v>
      </c>
      <c r="C468" s="56">
        <v>2</v>
      </c>
      <c r="D468" s="56">
        <v>2</v>
      </c>
      <c r="E468" s="56"/>
      <c r="F468" s="56"/>
    </row>
    <row r="469" s="1" customFormat="1" ht="37.5" spans="1:6">
      <c r="A469" s="56">
        <v>7</v>
      </c>
      <c r="B469" s="57" t="s">
        <v>315</v>
      </c>
      <c r="C469" s="56">
        <v>3</v>
      </c>
      <c r="D469" s="56">
        <v>3</v>
      </c>
      <c r="E469" s="56"/>
      <c r="F469" s="56"/>
    </row>
    <row r="470" s="1" customFormat="1" ht="18.75" spans="1:6">
      <c r="A470" s="56">
        <v>8</v>
      </c>
      <c r="B470" s="57" t="s">
        <v>316</v>
      </c>
      <c r="C470" s="56">
        <v>3</v>
      </c>
      <c r="D470" s="56">
        <v>3</v>
      </c>
      <c r="E470" s="56"/>
      <c r="F470" s="56"/>
    </row>
    <row r="471" s="1" customFormat="1" ht="37.5" spans="1:6">
      <c r="A471" s="56">
        <v>9</v>
      </c>
      <c r="B471" s="57" t="s">
        <v>317</v>
      </c>
      <c r="C471" s="56">
        <v>3</v>
      </c>
      <c r="D471" s="56">
        <v>3</v>
      </c>
      <c r="E471" s="56"/>
      <c r="F471" s="56"/>
    </row>
    <row r="472" s="1" customFormat="1" ht="18.75" spans="1:6">
      <c r="A472" s="56">
        <v>10</v>
      </c>
      <c r="B472" s="57" t="s">
        <v>318</v>
      </c>
      <c r="C472" s="56">
        <v>3</v>
      </c>
      <c r="D472" s="56">
        <v>3</v>
      </c>
      <c r="E472" s="56"/>
      <c r="F472" s="56"/>
    </row>
    <row r="473" s="1" customFormat="1" ht="18.75" spans="1:6">
      <c r="A473" s="56"/>
      <c r="B473" s="69" t="s">
        <v>319</v>
      </c>
      <c r="C473" s="8">
        <v>30</v>
      </c>
      <c r="D473" s="8"/>
      <c r="E473" s="8">
        <v>30</v>
      </c>
      <c r="F473" s="8"/>
    </row>
    <row r="474" s="1" customFormat="1" ht="37.5" spans="1:6">
      <c r="A474" s="56">
        <v>1</v>
      </c>
      <c r="B474" s="57" t="s">
        <v>320</v>
      </c>
      <c r="C474" s="56">
        <v>4</v>
      </c>
      <c r="D474" s="56"/>
      <c r="E474" s="56">
        <v>4</v>
      </c>
      <c r="F474" s="56"/>
    </row>
    <row r="475" s="1" customFormat="1" ht="18.75" spans="1:6">
      <c r="A475" s="56">
        <v>2</v>
      </c>
      <c r="B475" s="57" t="s">
        <v>321</v>
      </c>
      <c r="C475" s="56">
        <v>4</v>
      </c>
      <c r="D475" s="56"/>
      <c r="E475" s="56">
        <v>4</v>
      </c>
      <c r="F475" s="56"/>
    </row>
    <row r="476" s="1" customFormat="1" ht="65.25" spans="1:6">
      <c r="A476" s="56">
        <v>3</v>
      </c>
      <c r="B476" s="57" t="s">
        <v>322</v>
      </c>
      <c r="C476" s="56">
        <v>4</v>
      </c>
      <c r="D476" s="56"/>
      <c r="E476" s="56">
        <v>4</v>
      </c>
      <c r="F476" s="56"/>
    </row>
    <row r="477" s="1" customFormat="1" ht="37.5" spans="1:6">
      <c r="A477" s="56">
        <v>4</v>
      </c>
      <c r="B477" s="57" t="s">
        <v>323</v>
      </c>
      <c r="C477" s="56">
        <v>4</v>
      </c>
      <c r="D477" s="56"/>
      <c r="E477" s="56">
        <v>4</v>
      </c>
      <c r="F477" s="56"/>
    </row>
    <row r="478" s="1" customFormat="1" ht="37.5" spans="1:6">
      <c r="A478" s="56">
        <v>5</v>
      </c>
      <c r="B478" s="57" t="s">
        <v>324</v>
      </c>
      <c r="C478" s="56">
        <v>4</v>
      </c>
      <c r="D478" s="56"/>
      <c r="E478" s="56">
        <v>4</v>
      </c>
      <c r="F478" s="56"/>
    </row>
    <row r="479" s="1" customFormat="1" ht="37.5" spans="1:6">
      <c r="A479" s="56">
        <v>6</v>
      </c>
      <c r="B479" s="57" t="s">
        <v>325</v>
      </c>
      <c r="C479" s="56">
        <v>4</v>
      </c>
      <c r="D479" s="56"/>
      <c r="E479" s="56">
        <v>4</v>
      </c>
      <c r="F479" s="56"/>
    </row>
    <row r="480" s="1" customFormat="1" ht="37.5" spans="1:6">
      <c r="A480" s="56">
        <v>7</v>
      </c>
      <c r="B480" s="57" t="s">
        <v>326</v>
      </c>
      <c r="C480" s="56">
        <v>4</v>
      </c>
      <c r="D480" s="56"/>
      <c r="E480" s="56">
        <v>4</v>
      </c>
      <c r="F480" s="56"/>
    </row>
    <row r="481" s="1" customFormat="1" ht="18.75" spans="1:6">
      <c r="A481" s="56"/>
      <c r="B481" s="57" t="s">
        <v>327</v>
      </c>
      <c r="C481" s="56">
        <v>2</v>
      </c>
      <c r="D481" s="56"/>
      <c r="E481" s="56"/>
      <c r="F481" s="56">
        <v>2</v>
      </c>
    </row>
    <row r="482" s="1" customFormat="1" ht="18.75" spans="1:6">
      <c r="A482" s="8"/>
      <c r="B482" s="8" t="s">
        <v>69</v>
      </c>
      <c r="C482" s="8">
        <f t="shared" ref="C482:F482" si="72">SUM(C462,C473,C481)</f>
        <v>60</v>
      </c>
      <c r="D482" s="8">
        <f t="shared" si="72"/>
        <v>28</v>
      </c>
      <c r="E482" s="8">
        <f t="shared" si="72"/>
        <v>30</v>
      </c>
      <c r="F482" s="8">
        <f t="shared" si="72"/>
        <v>2</v>
      </c>
    </row>
    <row r="483" s="1" customFormat="1" ht="44.25" customHeight="1" spans="1:6">
      <c r="B483" s="70" t="s">
        <v>328</v>
      </c>
      <c r="C483" s="70"/>
      <c r="D483" s="70"/>
      <c r="E483" s="70"/>
      <c r="F483" s="70"/>
    </row>
    <row r="484" s="1" customFormat="1" ht="18.75" spans="1:6">
      <c r="A484" s="2" t="s">
        <v>329</v>
      </c>
      <c r="B484" s="31" t="str">
        <f>VLOOKUP(A484,$A$7:$B$50,2,FALSE)</f>
        <v>Sinh học và Di truyền</v>
      </c>
    </row>
    <row r="485" s="1" customFormat="1" ht="18.75" spans="1:6">
      <c r="A485" s="46" t="s">
        <v>79</v>
      </c>
      <c r="B485" s="46" t="s">
        <v>80</v>
      </c>
      <c r="C485" s="46" t="s">
        <v>81</v>
      </c>
      <c r="D485" s="46"/>
      <c r="E485" s="46"/>
      <c r="F485" s="46"/>
    </row>
    <row r="486" s="1" customFormat="1" ht="75" spans="1:6">
      <c r="A486" s="47"/>
      <c r="B486" s="47"/>
      <c r="C486" s="47" t="s">
        <v>7</v>
      </c>
      <c r="D486" s="47" t="s">
        <v>9</v>
      </c>
      <c r="E486" s="47" t="s">
        <v>82</v>
      </c>
      <c r="F486" s="47" t="s">
        <v>11</v>
      </c>
    </row>
    <row r="487" s="1" customFormat="1" ht="37.5" spans="1:6">
      <c r="A487" s="71">
        <v>1</v>
      </c>
      <c r="B487" s="71" t="s">
        <v>330</v>
      </c>
      <c r="C487" s="56">
        <v>3</v>
      </c>
      <c r="D487" s="56">
        <v>3</v>
      </c>
      <c r="E487" s="8"/>
      <c r="F487" s="8"/>
    </row>
    <row r="488" s="1" customFormat="1" ht="18.75" spans="1:6">
      <c r="A488" s="71">
        <v>2</v>
      </c>
      <c r="B488" s="71" t="s">
        <v>331</v>
      </c>
      <c r="C488" s="56">
        <v>5</v>
      </c>
      <c r="D488" s="56">
        <v>5</v>
      </c>
      <c r="E488" s="8"/>
      <c r="F488" s="8"/>
    </row>
    <row r="489" s="1" customFormat="1" ht="37.5" spans="1:6">
      <c r="A489" s="71">
        <v>3</v>
      </c>
      <c r="B489" s="72" t="s">
        <v>332</v>
      </c>
      <c r="C489" s="56">
        <v>4</v>
      </c>
      <c r="D489" s="56">
        <v>4</v>
      </c>
      <c r="E489" s="8"/>
      <c r="F489" s="8"/>
    </row>
    <row r="490" s="1" customFormat="1" ht="18.75" spans="1:6">
      <c r="A490" s="71">
        <v>3</v>
      </c>
      <c r="B490" s="71" t="s">
        <v>333</v>
      </c>
      <c r="C490" s="56">
        <v>4</v>
      </c>
      <c r="D490" s="56">
        <v>4</v>
      </c>
      <c r="E490" s="8"/>
      <c r="F490" s="8"/>
    </row>
    <row r="491" s="1" customFormat="1" ht="18.75" spans="1:6">
      <c r="A491" s="71">
        <v>5</v>
      </c>
      <c r="B491" s="71" t="s">
        <v>334</v>
      </c>
      <c r="C491" s="56">
        <v>4</v>
      </c>
      <c r="D491" s="56">
        <v>4</v>
      </c>
      <c r="E491" s="8"/>
      <c r="F491" s="8"/>
    </row>
    <row r="492" s="1" customFormat="1" ht="18.75" spans="1:6">
      <c r="A492" s="56"/>
      <c r="B492" s="71" t="s">
        <v>335</v>
      </c>
      <c r="C492" s="56">
        <v>1</v>
      </c>
      <c r="D492" s="56"/>
      <c r="E492" s="8"/>
      <c r="F492" s="56">
        <v>1</v>
      </c>
    </row>
    <row r="493" s="1" customFormat="1" ht="18.75" spans="1:6">
      <c r="A493" s="71">
        <v>6</v>
      </c>
      <c r="B493" s="71" t="s">
        <v>336</v>
      </c>
      <c r="C493" s="56">
        <v>4</v>
      </c>
      <c r="D493" s="56">
        <v>4</v>
      </c>
      <c r="E493" s="8"/>
      <c r="F493" s="8"/>
    </row>
    <row r="494" s="1" customFormat="1" ht="18.75" spans="1:6">
      <c r="A494" s="71">
        <v>7</v>
      </c>
      <c r="B494" s="71" t="s">
        <v>337</v>
      </c>
      <c r="C494" s="56">
        <v>3</v>
      </c>
      <c r="D494" s="56">
        <v>3</v>
      </c>
      <c r="E494" s="8"/>
      <c r="F494" s="8"/>
    </row>
    <row r="495" s="1" customFormat="1" ht="18.75" spans="1:6">
      <c r="A495" s="71">
        <v>8</v>
      </c>
      <c r="B495" s="72" t="s">
        <v>338</v>
      </c>
      <c r="C495" s="56">
        <v>3</v>
      </c>
      <c r="D495" s="56">
        <v>3</v>
      </c>
      <c r="E495" s="8"/>
      <c r="F495" s="8"/>
    </row>
    <row r="496" s="1" customFormat="1" ht="18.75" spans="1:6">
      <c r="A496" s="56"/>
      <c r="B496" s="71" t="s">
        <v>133</v>
      </c>
      <c r="C496" s="56">
        <v>2</v>
      </c>
      <c r="D496" s="56"/>
      <c r="E496" s="8"/>
      <c r="F496" s="56">
        <v>2</v>
      </c>
    </row>
    <row r="497" s="1" customFormat="1" ht="18.75" spans="1:6">
      <c r="A497" s="56"/>
      <c r="B497" s="8" t="s">
        <v>69</v>
      </c>
      <c r="C497" s="73">
        <f t="shared" ref="C497:F497" si="73">SUM(C487:C496)</f>
        <v>33</v>
      </c>
      <c r="D497" s="73">
        <f t="shared" si="73"/>
        <v>30</v>
      </c>
      <c r="E497" s="73">
        <f t="shared" si="73"/>
        <v>0</v>
      </c>
      <c r="F497" s="73">
        <f t="shared" si="73"/>
        <v>3</v>
      </c>
    </row>
    <row r="498" s="1" customFormat="1" ht="33" customHeight="1" spans="1:6">
      <c r="B498" s="70" t="s">
        <v>339</v>
      </c>
      <c r="C498" s="70"/>
      <c r="D498" s="70"/>
      <c r="E498" s="70"/>
      <c r="F498" s="70"/>
    </row>
    <row r="499" s="1" customFormat="1" ht="18.75" spans="1:6">
      <c r="A499" s="2" t="s">
        <v>340</v>
      </c>
      <c r="B499" s="31" t="str">
        <f>VLOOKUP(A499,$A$7:$B$50,2,FALSE)</f>
        <v>Giải phẫu - Sinh lý</v>
      </c>
    </row>
    <row r="500" s="1" customFormat="1" ht="18.75" spans="1:6">
      <c r="A500" s="46" t="s">
        <v>79</v>
      </c>
      <c r="B500" s="46" t="s">
        <v>80</v>
      </c>
      <c r="C500" s="46" t="s">
        <v>81</v>
      </c>
      <c r="D500" s="46"/>
      <c r="E500" s="46"/>
      <c r="F500" s="46"/>
    </row>
    <row r="501" s="1" customFormat="1" ht="75" spans="1:6">
      <c r="A501" s="47"/>
      <c r="B501" s="47"/>
      <c r="C501" s="47" t="s">
        <v>7</v>
      </c>
      <c r="D501" s="47" t="s">
        <v>9</v>
      </c>
      <c r="E501" s="47" t="s">
        <v>82</v>
      </c>
      <c r="F501" s="47" t="s">
        <v>11</v>
      </c>
    </row>
    <row r="502" s="1" customFormat="1" ht="18.75" spans="1:6">
      <c r="A502" s="56">
        <v>1</v>
      </c>
      <c r="B502" s="42" t="s">
        <v>341</v>
      </c>
      <c r="C502" s="56">
        <v>3</v>
      </c>
      <c r="D502" s="56">
        <v>3</v>
      </c>
      <c r="E502" s="56"/>
      <c r="F502" s="56"/>
    </row>
    <row r="503" s="1" customFormat="1" ht="37.5" spans="1:6">
      <c r="A503" s="56">
        <v>2</v>
      </c>
      <c r="B503" s="71" t="s">
        <v>342</v>
      </c>
      <c r="C503" s="56">
        <v>10</v>
      </c>
      <c r="D503" s="56">
        <v>4</v>
      </c>
      <c r="E503" s="56">
        <v>6</v>
      </c>
      <c r="F503" s="56"/>
    </row>
    <row r="504" s="1" customFormat="1" ht="37.5" spans="1:6">
      <c r="A504" s="56">
        <v>3</v>
      </c>
      <c r="B504" s="71" t="s">
        <v>343</v>
      </c>
      <c r="C504" s="56">
        <v>7</v>
      </c>
      <c r="D504" s="56">
        <v>3</v>
      </c>
      <c r="E504" s="56">
        <v>4</v>
      </c>
      <c r="F504" s="56"/>
    </row>
    <row r="505" s="1" customFormat="1" ht="18.75" spans="1:6">
      <c r="A505" s="56">
        <v>4</v>
      </c>
      <c r="B505" s="71" t="s">
        <v>344</v>
      </c>
      <c r="C505" s="56">
        <v>8</v>
      </c>
      <c r="D505" s="56">
        <v>4</v>
      </c>
      <c r="E505" s="56">
        <v>4</v>
      </c>
      <c r="F505" s="56"/>
    </row>
    <row r="506" s="1" customFormat="1" ht="18.75" spans="1:6">
      <c r="A506" s="56">
        <v>5</v>
      </c>
      <c r="B506" s="71" t="s">
        <v>345</v>
      </c>
      <c r="C506" s="56">
        <v>3</v>
      </c>
      <c r="D506" s="56">
        <v>3</v>
      </c>
      <c r="E506" s="56"/>
      <c r="F506" s="56"/>
    </row>
    <row r="507" s="1" customFormat="1" ht="18.75" spans="1:6">
      <c r="A507" s="56">
        <v>6</v>
      </c>
      <c r="B507" s="71" t="s">
        <v>346</v>
      </c>
      <c r="C507" s="56">
        <v>8</v>
      </c>
      <c r="D507" s="56">
        <v>4</v>
      </c>
      <c r="E507" s="56">
        <v>4</v>
      </c>
      <c r="F507" s="56"/>
    </row>
    <row r="508" s="1" customFormat="1" ht="18.75" spans="1:6">
      <c r="A508" s="56">
        <v>7</v>
      </c>
      <c r="B508" s="71" t="s">
        <v>347</v>
      </c>
      <c r="C508" s="56">
        <v>8</v>
      </c>
      <c r="D508" s="56">
        <v>4</v>
      </c>
      <c r="E508" s="56">
        <v>4</v>
      </c>
      <c r="F508" s="56"/>
    </row>
    <row r="509" s="1" customFormat="1" ht="18.75" spans="1:6">
      <c r="A509" s="56">
        <v>8</v>
      </c>
      <c r="B509" s="71" t="s">
        <v>348</v>
      </c>
      <c r="C509" s="56">
        <v>5</v>
      </c>
      <c r="D509" s="56">
        <v>3</v>
      </c>
      <c r="E509" s="56">
        <v>2</v>
      </c>
      <c r="F509" s="56"/>
    </row>
    <row r="510" s="1" customFormat="1" ht="18.75" spans="1:6">
      <c r="A510" s="56">
        <v>9</v>
      </c>
      <c r="B510" s="71" t="s">
        <v>349</v>
      </c>
      <c r="C510" s="56">
        <v>6</v>
      </c>
      <c r="D510" s="56">
        <v>4</v>
      </c>
      <c r="E510" s="56">
        <v>2</v>
      </c>
      <c r="F510" s="56"/>
    </row>
    <row r="511" s="1" customFormat="1" ht="18.75" spans="1:6">
      <c r="A511" s="56">
        <v>10</v>
      </c>
      <c r="B511" s="71" t="s">
        <v>350</v>
      </c>
      <c r="C511" s="56">
        <v>6</v>
      </c>
      <c r="D511" s="56">
        <v>4</v>
      </c>
      <c r="E511" s="56">
        <v>2</v>
      </c>
      <c r="F511" s="56"/>
    </row>
    <row r="512" s="1" customFormat="1" ht="18.75" spans="1:6">
      <c r="A512" s="56">
        <v>11</v>
      </c>
      <c r="B512" s="71" t="s">
        <v>351</v>
      </c>
      <c r="C512" s="56">
        <v>3</v>
      </c>
      <c r="D512" s="56">
        <v>3</v>
      </c>
      <c r="E512" s="56"/>
      <c r="F512" s="56"/>
    </row>
    <row r="513" s="1" customFormat="1" ht="37.5" spans="1:6">
      <c r="A513" s="56">
        <v>12</v>
      </c>
      <c r="B513" s="71" t="s">
        <v>352</v>
      </c>
      <c r="C513" s="56">
        <v>5</v>
      </c>
      <c r="D513" s="56">
        <v>3</v>
      </c>
      <c r="E513" s="56">
        <v>2</v>
      </c>
      <c r="F513" s="56"/>
    </row>
    <row r="514" s="1" customFormat="1" ht="18.75" spans="1:6">
      <c r="A514" s="56">
        <v>13</v>
      </c>
      <c r="B514" s="42" t="s">
        <v>353</v>
      </c>
      <c r="C514" s="56">
        <v>10</v>
      </c>
      <c r="D514" s="56">
        <v>4</v>
      </c>
      <c r="E514" s="56">
        <v>6</v>
      </c>
      <c r="F514" s="56"/>
    </row>
    <row r="515" s="1" customFormat="1" ht="18.75" spans="1:6">
      <c r="A515" s="56">
        <v>14</v>
      </c>
      <c r="B515" s="42" t="s">
        <v>354</v>
      </c>
      <c r="C515" s="56">
        <v>10</v>
      </c>
      <c r="D515" s="56">
        <v>4</v>
      </c>
      <c r="E515" s="56">
        <v>6</v>
      </c>
      <c r="F515" s="56"/>
    </row>
    <row r="516" s="1" customFormat="1" ht="18.75" spans="1:6">
      <c r="A516" s="56"/>
      <c r="B516" s="71" t="s">
        <v>355</v>
      </c>
      <c r="C516" s="56">
        <v>10</v>
      </c>
      <c r="D516" s="56"/>
      <c r="E516" s="56"/>
      <c r="F516" s="56">
        <v>10</v>
      </c>
    </row>
    <row r="517" s="1" customFormat="1" ht="18.75" spans="1:6">
      <c r="A517" s="56"/>
      <c r="B517" s="8" t="s">
        <v>69</v>
      </c>
      <c r="C517" s="8">
        <f t="shared" ref="C517:F517" si="74">SUM(C502:C516)</f>
        <v>102</v>
      </c>
      <c r="D517" s="8">
        <f t="shared" si="74"/>
        <v>50</v>
      </c>
      <c r="E517" s="8">
        <f t="shared" si="74"/>
        <v>42</v>
      </c>
      <c r="F517" s="8">
        <f t="shared" si="74"/>
        <v>10</v>
      </c>
    </row>
    <row r="518" s="1" customFormat="1" ht="34.5" customHeight="1" spans="1:6">
      <c r="B518" s="74" t="s">
        <v>356</v>
      </c>
      <c r="C518" s="74"/>
      <c r="D518" s="74"/>
      <c r="E518" s="74"/>
      <c r="F518" s="74"/>
    </row>
    <row r="519" s="1" customFormat="1" ht="18.75" spans="1:6">
      <c r="A519" s="2" t="s">
        <v>357</v>
      </c>
      <c r="B519" s="31" t="str">
        <f>VLOOKUP(A519,$A$7:$B$50,2,FALSE)</f>
        <v>Vi sinh vật - Ký sinh trùng</v>
      </c>
    </row>
    <row r="520" s="1" customFormat="1" ht="18.75" spans="1:6">
      <c r="A520" s="46" t="s">
        <v>79</v>
      </c>
      <c r="B520" s="46" t="s">
        <v>80</v>
      </c>
      <c r="C520" s="46" t="s">
        <v>81</v>
      </c>
      <c r="D520" s="46"/>
      <c r="E520" s="46"/>
      <c r="F520" s="46"/>
    </row>
    <row r="521" s="1" customFormat="1" ht="75" spans="1:6">
      <c r="A521" s="47"/>
      <c r="B521" s="47"/>
      <c r="C521" s="47" t="s">
        <v>7</v>
      </c>
      <c r="D521" s="47" t="s">
        <v>9</v>
      </c>
      <c r="E521" s="47" t="s">
        <v>82</v>
      </c>
      <c r="F521" s="47" t="s">
        <v>11</v>
      </c>
    </row>
    <row r="522" s="1" customFormat="1" ht="18.75" spans="1:6">
      <c r="A522" s="8" t="s">
        <v>12</v>
      </c>
      <c r="B522" s="48" t="s">
        <v>358</v>
      </c>
      <c r="C522" s="8">
        <v>11</v>
      </c>
      <c r="D522" s="8">
        <v>11</v>
      </c>
      <c r="E522" s="56"/>
      <c r="F522" s="56"/>
    </row>
    <row r="523" s="1" customFormat="1" ht="18.75" spans="1:6">
      <c r="A523" s="56">
        <v>1</v>
      </c>
      <c r="B523" s="72" t="s">
        <v>359</v>
      </c>
      <c r="C523" s="56">
        <v>1</v>
      </c>
      <c r="D523" s="56">
        <v>1</v>
      </c>
      <c r="E523" s="56"/>
      <c r="F523" s="56"/>
    </row>
    <row r="524" s="1" customFormat="1" ht="18.75" spans="1:6">
      <c r="A524" s="56">
        <v>2</v>
      </c>
      <c r="B524" s="72" t="s">
        <v>360</v>
      </c>
      <c r="C524" s="56">
        <v>1</v>
      </c>
      <c r="D524" s="56">
        <v>1</v>
      </c>
      <c r="E524" s="56"/>
      <c r="F524" s="56"/>
    </row>
    <row r="525" s="1" customFormat="1" ht="18.75" spans="1:6">
      <c r="A525" s="56">
        <v>3</v>
      </c>
      <c r="B525" s="72" t="s">
        <v>361</v>
      </c>
      <c r="C525" s="56">
        <v>1</v>
      </c>
      <c r="D525" s="56">
        <v>1</v>
      </c>
      <c r="E525" s="56"/>
      <c r="F525" s="56"/>
    </row>
    <row r="526" s="1" customFormat="1" ht="18.75" spans="1:6">
      <c r="A526" s="56">
        <v>4</v>
      </c>
      <c r="B526" s="42" t="s">
        <v>362</v>
      </c>
      <c r="C526" s="56">
        <v>1</v>
      </c>
      <c r="D526" s="56">
        <v>1</v>
      </c>
      <c r="E526" s="56"/>
      <c r="F526" s="56"/>
    </row>
    <row r="527" s="1" customFormat="1" ht="18.75" spans="1:6">
      <c r="A527" s="56">
        <v>5</v>
      </c>
      <c r="B527" s="42" t="s">
        <v>363</v>
      </c>
      <c r="C527" s="56">
        <v>1</v>
      </c>
      <c r="D527" s="56">
        <v>1</v>
      </c>
      <c r="E527" s="56"/>
      <c r="F527" s="56"/>
    </row>
    <row r="528" s="1" customFormat="1" ht="18.75" spans="1:6">
      <c r="A528" s="56">
        <v>6</v>
      </c>
      <c r="B528" s="75" t="s">
        <v>364</v>
      </c>
      <c r="C528" s="56">
        <v>1</v>
      </c>
      <c r="D528" s="56">
        <v>1</v>
      </c>
      <c r="E528" s="56"/>
      <c r="F528" s="56"/>
    </row>
    <row r="529" s="1" customFormat="1" ht="18.75" spans="1:6">
      <c r="A529" s="56">
        <v>7</v>
      </c>
      <c r="B529" s="42" t="s">
        <v>365</v>
      </c>
      <c r="C529" s="56">
        <v>1</v>
      </c>
      <c r="D529" s="56">
        <v>1</v>
      </c>
      <c r="E529" s="56"/>
      <c r="F529" s="56"/>
    </row>
    <row r="530" s="1" customFormat="1" ht="18.75" spans="1:6">
      <c r="A530" s="56">
        <v>8</v>
      </c>
      <c r="B530" s="42" t="s">
        <v>366</v>
      </c>
      <c r="C530" s="56">
        <v>1</v>
      </c>
      <c r="D530" s="56">
        <v>1</v>
      </c>
      <c r="E530" s="56"/>
      <c r="F530" s="56"/>
    </row>
    <row r="531" s="1" customFormat="1" ht="18.75" spans="1:6">
      <c r="A531" s="56">
        <v>9</v>
      </c>
      <c r="B531" s="72" t="s">
        <v>367</v>
      </c>
      <c r="C531" s="41">
        <v>1</v>
      </c>
      <c r="D531" s="56">
        <v>1</v>
      </c>
      <c r="E531" s="56"/>
      <c r="F531" s="56"/>
    </row>
    <row r="532" s="1" customFormat="1" ht="18.75" spans="1:6">
      <c r="A532" s="56">
        <v>10</v>
      </c>
      <c r="B532" s="75" t="s">
        <v>368</v>
      </c>
      <c r="C532" s="76">
        <v>1</v>
      </c>
      <c r="D532" s="76">
        <v>1</v>
      </c>
      <c r="E532" s="56"/>
      <c r="F532" s="56"/>
    </row>
    <row r="533" s="1" customFormat="1" ht="18.75" spans="1:6">
      <c r="A533" s="56">
        <v>11</v>
      </c>
      <c r="B533" s="42" t="s">
        <v>369</v>
      </c>
      <c r="C533" s="76">
        <v>1</v>
      </c>
      <c r="D533" s="76">
        <v>1</v>
      </c>
      <c r="E533" s="56"/>
      <c r="F533" s="56"/>
    </row>
    <row r="534" s="1" customFormat="1" ht="18.75" spans="1:6">
      <c r="A534" s="8" t="s">
        <v>22</v>
      </c>
      <c r="B534" s="48" t="s">
        <v>370</v>
      </c>
      <c r="C534" s="8">
        <v>5</v>
      </c>
      <c r="D534" s="8">
        <v>5</v>
      </c>
      <c r="E534" s="56"/>
      <c r="F534" s="56"/>
    </row>
    <row r="535" s="1" customFormat="1" ht="18.75" spans="1:6">
      <c r="A535" s="56">
        <v>12</v>
      </c>
      <c r="B535" s="72" t="s">
        <v>371</v>
      </c>
      <c r="C535" s="56">
        <v>3</v>
      </c>
      <c r="D535" s="56">
        <v>3</v>
      </c>
      <c r="E535" s="56"/>
      <c r="F535" s="56"/>
    </row>
    <row r="536" s="1" customFormat="1" ht="37.5" spans="1:6">
      <c r="A536" s="56">
        <v>13</v>
      </c>
      <c r="B536" s="72" t="s">
        <v>372</v>
      </c>
      <c r="C536" s="56">
        <v>2</v>
      </c>
      <c r="D536" s="56">
        <v>2</v>
      </c>
      <c r="E536" s="56"/>
      <c r="F536" s="56"/>
    </row>
    <row r="537" s="1" customFormat="1" ht="18.75" spans="1:6">
      <c r="A537" s="8" t="s">
        <v>373</v>
      </c>
      <c r="B537" s="48" t="s">
        <v>374</v>
      </c>
      <c r="C537" s="8">
        <v>6</v>
      </c>
      <c r="D537" s="8">
        <v>6</v>
      </c>
      <c r="E537" s="56"/>
      <c r="F537" s="56"/>
    </row>
    <row r="538" s="1" customFormat="1" ht="18.75" spans="1:6">
      <c r="A538" s="56">
        <v>14</v>
      </c>
      <c r="B538" s="72" t="s">
        <v>375</v>
      </c>
      <c r="C538" s="41">
        <v>1</v>
      </c>
      <c r="D538" s="56">
        <v>1</v>
      </c>
      <c r="E538" s="56"/>
      <c r="F538" s="56"/>
    </row>
    <row r="539" s="1" customFormat="1" ht="18.75" spans="1:6">
      <c r="A539" s="56">
        <v>15</v>
      </c>
      <c r="B539" s="72" t="s">
        <v>376</v>
      </c>
      <c r="C539" s="41">
        <v>1</v>
      </c>
      <c r="D539" s="56">
        <v>1</v>
      </c>
      <c r="E539" s="56"/>
      <c r="F539" s="56"/>
    </row>
    <row r="540" s="1" customFormat="1" ht="18.75" spans="1:6">
      <c r="A540" s="56">
        <v>16</v>
      </c>
      <c r="B540" s="72" t="s">
        <v>377</v>
      </c>
      <c r="C540" s="41">
        <v>1</v>
      </c>
      <c r="D540" s="56">
        <v>1</v>
      </c>
      <c r="E540" s="56"/>
      <c r="F540" s="56"/>
    </row>
    <row r="541" s="1" customFormat="1" ht="18.75" spans="1:6">
      <c r="A541" s="56">
        <v>17</v>
      </c>
      <c r="B541" s="72" t="s">
        <v>378</v>
      </c>
      <c r="C541" s="41">
        <v>1</v>
      </c>
      <c r="D541" s="56">
        <v>1</v>
      </c>
      <c r="E541" s="56"/>
      <c r="F541" s="56"/>
    </row>
    <row r="542" s="1" customFormat="1" ht="18.75" spans="1:6">
      <c r="A542" s="56">
        <v>18</v>
      </c>
      <c r="B542" s="72" t="s">
        <v>379</v>
      </c>
      <c r="C542" s="41">
        <v>1</v>
      </c>
      <c r="D542" s="56">
        <v>1</v>
      </c>
      <c r="E542" s="56"/>
      <c r="F542" s="56"/>
    </row>
    <row r="543" s="1" customFormat="1" ht="18.75" spans="1:6">
      <c r="A543" s="56">
        <v>19</v>
      </c>
      <c r="B543" s="72" t="s">
        <v>380</v>
      </c>
      <c r="C543" s="41">
        <v>1</v>
      </c>
      <c r="D543" s="56">
        <v>1</v>
      </c>
      <c r="E543" s="56"/>
      <c r="F543" s="56"/>
    </row>
    <row r="544" s="1" customFormat="1" ht="37.5" spans="1:6">
      <c r="A544" s="8" t="s">
        <v>381</v>
      </c>
      <c r="B544" s="48" t="s">
        <v>382</v>
      </c>
      <c r="C544" s="8">
        <v>8</v>
      </c>
      <c r="D544" s="8">
        <v>8</v>
      </c>
      <c r="E544" s="56"/>
      <c r="F544" s="56"/>
    </row>
    <row r="545" s="1" customFormat="1" ht="18.75" spans="1:6">
      <c r="A545" s="56">
        <v>20</v>
      </c>
      <c r="B545" s="72" t="s">
        <v>383</v>
      </c>
      <c r="C545" s="56">
        <v>1</v>
      </c>
      <c r="D545" s="56">
        <v>1</v>
      </c>
      <c r="E545" s="56"/>
      <c r="F545" s="56"/>
    </row>
    <row r="546" s="1" customFormat="1" ht="18.75" spans="1:6">
      <c r="A546" s="56">
        <v>21</v>
      </c>
      <c r="B546" s="72" t="s">
        <v>384</v>
      </c>
      <c r="C546" s="56">
        <v>1</v>
      </c>
      <c r="D546" s="56">
        <v>1</v>
      </c>
      <c r="E546" s="56"/>
      <c r="F546" s="56"/>
    </row>
    <row r="547" s="1" customFormat="1" ht="18.75" spans="1:6">
      <c r="A547" s="56">
        <v>22</v>
      </c>
      <c r="B547" s="72" t="s">
        <v>385</v>
      </c>
      <c r="C547" s="56">
        <v>1</v>
      </c>
      <c r="D547" s="56">
        <v>1</v>
      </c>
      <c r="E547" s="56"/>
      <c r="F547" s="56"/>
    </row>
    <row r="548" s="1" customFormat="1" ht="18.75" spans="1:6">
      <c r="A548" s="56">
        <v>23</v>
      </c>
      <c r="B548" s="72" t="s">
        <v>386</v>
      </c>
      <c r="C548" s="56">
        <v>1</v>
      </c>
      <c r="D548" s="56">
        <v>1</v>
      </c>
      <c r="E548" s="56"/>
      <c r="F548" s="56"/>
    </row>
    <row r="549" s="1" customFormat="1" ht="18.75" spans="1:6">
      <c r="A549" s="56">
        <v>24</v>
      </c>
      <c r="B549" s="72" t="s">
        <v>387</v>
      </c>
      <c r="C549" s="56">
        <v>1</v>
      </c>
      <c r="D549" s="56">
        <v>1</v>
      </c>
      <c r="E549" s="56"/>
      <c r="F549" s="56"/>
    </row>
    <row r="550" s="1" customFormat="1" ht="18.75" spans="1:6">
      <c r="A550" s="56">
        <v>25</v>
      </c>
      <c r="B550" s="72" t="s">
        <v>388</v>
      </c>
      <c r="C550" s="56">
        <v>1</v>
      </c>
      <c r="D550" s="56">
        <v>1</v>
      </c>
      <c r="E550" s="56"/>
      <c r="F550" s="56"/>
    </row>
    <row r="551" s="1" customFormat="1" ht="18.75" spans="1:6">
      <c r="A551" s="56">
        <v>26</v>
      </c>
      <c r="B551" s="72" t="s">
        <v>389</v>
      </c>
      <c r="C551" s="76">
        <v>1</v>
      </c>
      <c r="D551" s="76">
        <v>1</v>
      </c>
      <c r="E551" s="56"/>
      <c r="F551" s="56"/>
    </row>
    <row r="552" s="1" customFormat="1" ht="18.75" spans="1:6">
      <c r="A552" s="56">
        <v>27</v>
      </c>
      <c r="B552" s="72" t="s">
        <v>390</v>
      </c>
      <c r="C552" s="76">
        <v>1</v>
      </c>
      <c r="D552" s="76">
        <v>1</v>
      </c>
      <c r="E552" s="56"/>
      <c r="F552" s="56"/>
    </row>
    <row r="553" s="1" customFormat="1" ht="18.75" spans="1:6">
      <c r="A553" s="56"/>
      <c r="B553" s="72" t="s">
        <v>391</v>
      </c>
      <c r="C553" s="56">
        <v>1</v>
      </c>
      <c r="D553" s="56"/>
      <c r="E553" s="56"/>
      <c r="F553" s="56">
        <v>1</v>
      </c>
    </row>
    <row r="554" s="1" customFormat="1" ht="18.75" spans="1:6">
      <c r="A554" s="71"/>
      <c r="B554" s="9" t="s">
        <v>392</v>
      </c>
      <c r="C554" s="8">
        <v>15</v>
      </c>
      <c r="D554" s="8"/>
      <c r="E554" s="8">
        <v>15</v>
      </c>
      <c r="F554" s="56"/>
    </row>
    <row r="555" s="1" customFormat="1" ht="56.25" spans="1:6">
      <c r="A555" s="56">
        <v>28</v>
      </c>
      <c r="B555" s="72" t="s">
        <v>393</v>
      </c>
      <c r="C555" s="56">
        <v>6</v>
      </c>
      <c r="D555" s="56"/>
      <c r="E555" s="56">
        <v>6</v>
      </c>
      <c r="F555" s="56"/>
    </row>
    <row r="556" s="1" customFormat="1" ht="37.5" spans="1:6">
      <c r="A556" s="56">
        <v>29</v>
      </c>
      <c r="B556" s="72" t="s">
        <v>394</v>
      </c>
      <c r="C556" s="56">
        <v>3</v>
      </c>
      <c r="D556" s="56"/>
      <c r="E556" s="56">
        <v>3</v>
      </c>
      <c r="F556" s="56"/>
    </row>
    <row r="557" s="1" customFormat="1" ht="37.5" spans="1:6">
      <c r="A557" s="56">
        <v>30</v>
      </c>
      <c r="B557" s="72" t="s">
        <v>395</v>
      </c>
      <c r="C557" s="76">
        <v>3</v>
      </c>
      <c r="D557" s="56"/>
      <c r="E557" s="76">
        <v>3</v>
      </c>
      <c r="F557" s="56"/>
    </row>
    <row r="558" s="1" customFormat="1" ht="37.5" spans="1:6">
      <c r="A558" s="56">
        <v>31</v>
      </c>
      <c r="B558" s="57" t="s">
        <v>396</v>
      </c>
      <c r="C558" s="56">
        <v>3</v>
      </c>
      <c r="D558" s="56"/>
      <c r="E558" s="56">
        <v>3</v>
      </c>
      <c r="F558" s="56"/>
    </row>
    <row r="559" s="1" customFormat="1" ht="18.75" spans="1:6">
      <c r="A559" s="56"/>
      <c r="B559" s="72" t="s">
        <v>397</v>
      </c>
      <c r="C559" s="56">
        <v>2</v>
      </c>
      <c r="D559" s="56"/>
      <c r="E559" s="56"/>
      <c r="F559" s="56">
        <v>2</v>
      </c>
    </row>
    <row r="560" s="1" customFormat="1" ht="56.25" spans="1:6">
      <c r="A560" s="77">
        <v>33</v>
      </c>
      <c r="B560" s="78" t="s">
        <v>393</v>
      </c>
      <c r="C560" s="77">
        <v>3</v>
      </c>
      <c r="D560" s="77"/>
      <c r="E560" s="77">
        <v>3</v>
      </c>
      <c r="F560" s="77"/>
    </row>
    <row r="561" s="1" customFormat="1" ht="18.75" spans="1:6">
      <c r="A561" s="77">
        <v>34</v>
      </c>
      <c r="B561" s="78" t="s">
        <v>398</v>
      </c>
      <c r="C561" s="77">
        <v>3</v>
      </c>
      <c r="D561" s="77"/>
      <c r="E561" s="77">
        <v>3</v>
      </c>
      <c r="F561" s="77"/>
    </row>
    <row r="562" s="1" customFormat="1" ht="37.5" spans="1:6">
      <c r="A562" s="77">
        <v>35</v>
      </c>
      <c r="B562" s="78" t="s">
        <v>399</v>
      </c>
      <c r="C562" s="77">
        <v>6</v>
      </c>
      <c r="D562" s="77"/>
      <c r="E562" s="77">
        <v>6</v>
      </c>
      <c r="F562" s="77"/>
    </row>
    <row r="563" s="1" customFormat="1" ht="37.5" spans="1:6">
      <c r="A563" s="77">
        <v>36</v>
      </c>
      <c r="B563" s="78" t="s">
        <v>400</v>
      </c>
      <c r="C563" s="77">
        <v>3</v>
      </c>
      <c r="D563" s="77"/>
      <c r="E563" s="77">
        <v>3</v>
      </c>
      <c r="F563" s="77"/>
    </row>
    <row r="564" s="1" customFormat="1" ht="37.5" spans="1:6">
      <c r="A564" s="77">
        <v>37</v>
      </c>
      <c r="B564" s="78" t="s">
        <v>401</v>
      </c>
      <c r="C564" s="77"/>
      <c r="D564" s="77"/>
      <c r="E564" s="77"/>
      <c r="F564" s="77"/>
    </row>
    <row r="565" s="1" customFormat="1" ht="18.75" spans="1:6">
      <c r="A565" s="5"/>
      <c r="B565" s="78" t="s">
        <v>397</v>
      </c>
      <c r="C565" s="77">
        <v>2</v>
      </c>
      <c r="D565" s="77"/>
      <c r="E565" s="77"/>
      <c r="F565" s="77">
        <v>2</v>
      </c>
    </row>
    <row r="566" s="1" customFormat="1" ht="18.75" spans="1:6">
      <c r="A566" s="73"/>
      <c r="B566" s="32" t="s">
        <v>69</v>
      </c>
      <c r="C566" s="73">
        <f t="shared" ref="C566:F566" si="75">SUM(C522,C534,C537,C544,C553,C554,C565)</f>
        <v>48</v>
      </c>
      <c r="D566" s="73">
        <f t="shared" si="75"/>
        <v>30</v>
      </c>
      <c r="E566" s="73">
        <f t="shared" si="75"/>
        <v>15</v>
      </c>
      <c r="F566" s="73">
        <f t="shared" si="75"/>
        <v>3</v>
      </c>
    </row>
    <row r="567" s="1" customFormat="1" ht="32.7" customHeight="1" spans="1:6">
      <c r="B567" s="79" t="s">
        <v>402</v>
      </c>
      <c r="C567" s="79"/>
      <c r="D567" s="79"/>
      <c r="E567" s="79"/>
      <c r="F567" s="79"/>
    </row>
    <row r="568" s="1" customFormat="1" ht="18.75" spans="1:6">
      <c r="A568" s="2" t="s">
        <v>403</v>
      </c>
      <c r="B568" s="31" t="str">
        <f>VLOOKUP(A568,$A$7:$B$50,2,FALSE)</f>
        <v>Hóa sinh</v>
      </c>
    </row>
    <row r="569" s="1" customFormat="1" ht="18.75" spans="1:6">
      <c r="A569" s="46" t="s">
        <v>79</v>
      </c>
      <c r="B569" s="46" t="s">
        <v>80</v>
      </c>
      <c r="C569" s="46" t="s">
        <v>81</v>
      </c>
      <c r="D569" s="46"/>
      <c r="E569" s="46"/>
      <c r="F569" s="46"/>
    </row>
    <row r="570" s="1" customFormat="1" ht="75" spans="1:6">
      <c r="A570" s="47"/>
      <c r="B570" s="47"/>
      <c r="C570" s="47" t="s">
        <v>7</v>
      </c>
      <c r="D570" s="47" t="s">
        <v>9</v>
      </c>
      <c r="E570" s="47" t="s">
        <v>82</v>
      </c>
      <c r="F570" s="47" t="s">
        <v>11</v>
      </c>
    </row>
    <row r="571" s="1" customFormat="1" ht="18.75" spans="1:6">
      <c r="A571" s="55">
        <v>1</v>
      </c>
      <c r="B571" s="55" t="s">
        <v>404</v>
      </c>
      <c r="C571" s="14">
        <v>2</v>
      </c>
      <c r="D571" s="14">
        <v>2</v>
      </c>
      <c r="E571" s="14"/>
      <c r="F571" s="14"/>
    </row>
    <row r="572" s="1" customFormat="1" ht="18.75" spans="1:6">
      <c r="A572" s="55">
        <v>2</v>
      </c>
      <c r="B572" s="55" t="s">
        <v>405</v>
      </c>
      <c r="C572" s="14">
        <v>3</v>
      </c>
      <c r="D572" s="14">
        <v>3</v>
      </c>
      <c r="E572" s="14"/>
      <c r="F572" s="14"/>
    </row>
    <row r="573" s="1" customFormat="1" ht="18.75" spans="1:6">
      <c r="A573" s="55">
        <v>3</v>
      </c>
      <c r="B573" s="55" t="s">
        <v>406</v>
      </c>
      <c r="C573" s="14">
        <v>3</v>
      </c>
      <c r="D573" s="14">
        <v>3</v>
      </c>
      <c r="E573" s="14"/>
      <c r="F573" s="14"/>
    </row>
    <row r="574" s="1" customFormat="1" ht="18.75" spans="1:6">
      <c r="A574" s="55">
        <v>4</v>
      </c>
      <c r="B574" s="55" t="s">
        <v>407</v>
      </c>
      <c r="C574" s="14">
        <v>3</v>
      </c>
      <c r="D574" s="14">
        <v>3</v>
      </c>
      <c r="E574" s="14"/>
      <c r="F574" s="14"/>
    </row>
    <row r="575" s="1" customFormat="1" ht="18.75" spans="1:6">
      <c r="A575" s="55">
        <v>5</v>
      </c>
      <c r="B575" s="55" t="s">
        <v>408</v>
      </c>
      <c r="C575" s="14">
        <v>4</v>
      </c>
      <c r="D575" s="14">
        <v>4</v>
      </c>
      <c r="E575" s="14"/>
      <c r="F575" s="14"/>
    </row>
    <row r="576" s="1" customFormat="1" ht="18.75" spans="1:6">
      <c r="A576" s="55">
        <v>6</v>
      </c>
      <c r="B576" s="55" t="s">
        <v>409</v>
      </c>
      <c r="C576" s="14">
        <v>2</v>
      </c>
      <c r="D576" s="14">
        <v>2</v>
      </c>
      <c r="E576" s="14"/>
      <c r="F576" s="14"/>
    </row>
    <row r="577" s="1" customFormat="1" ht="18.75" spans="1:6">
      <c r="A577" s="55">
        <v>7</v>
      </c>
      <c r="B577" s="55" t="s">
        <v>410</v>
      </c>
      <c r="C577" s="14">
        <v>2</v>
      </c>
      <c r="D577" s="14">
        <v>2</v>
      </c>
      <c r="E577" s="14"/>
      <c r="F577" s="14"/>
    </row>
    <row r="578" s="1" customFormat="1" ht="18.75" spans="1:6">
      <c r="A578" s="55">
        <v>8</v>
      </c>
      <c r="B578" s="55" t="s">
        <v>411</v>
      </c>
      <c r="C578" s="14">
        <v>3</v>
      </c>
      <c r="D578" s="14">
        <v>3</v>
      </c>
      <c r="E578" s="14"/>
      <c r="F578" s="14"/>
    </row>
    <row r="579" s="1" customFormat="1" ht="18.75" spans="1:6">
      <c r="A579" s="55">
        <v>9</v>
      </c>
      <c r="B579" s="55" t="s">
        <v>412</v>
      </c>
      <c r="C579" s="14">
        <v>2</v>
      </c>
      <c r="D579" s="14">
        <v>2</v>
      </c>
      <c r="E579" s="14"/>
      <c r="F579" s="14"/>
    </row>
    <row r="580" s="1" customFormat="1" ht="37.5" spans="1:6">
      <c r="A580" s="55">
        <v>10</v>
      </c>
      <c r="B580" s="55" t="s">
        <v>413</v>
      </c>
      <c r="C580" s="14">
        <v>2</v>
      </c>
      <c r="D580" s="14">
        <v>2</v>
      </c>
      <c r="E580" s="14"/>
      <c r="F580" s="14"/>
    </row>
    <row r="581" s="1" customFormat="1" ht="18.75" spans="1:6">
      <c r="A581" s="55">
        <v>11</v>
      </c>
      <c r="B581" s="55" t="s">
        <v>414</v>
      </c>
      <c r="C581" s="14">
        <v>2</v>
      </c>
      <c r="D581" s="14">
        <v>2</v>
      </c>
      <c r="E581" s="14"/>
      <c r="F581" s="14"/>
    </row>
    <row r="582" s="1" customFormat="1" ht="18.75" spans="1:6">
      <c r="A582" s="55">
        <v>12</v>
      </c>
      <c r="B582" s="55" t="s">
        <v>415</v>
      </c>
      <c r="C582" s="14">
        <v>2</v>
      </c>
      <c r="D582" s="14">
        <v>2</v>
      </c>
      <c r="E582" s="14"/>
      <c r="F582" s="14"/>
    </row>
    <row r="583" s="1" customFormat="1" ht="18.75" spans="1:6">
      <c r="A583" s="14"/>
      <c r="B583" s="55" t="s">
        <v>133</v>
      </c>
      <c r="C583" s="14">
        <v>3</v>
      </c>
      <c r="D583" s="14"/>
      <c r="E583" s="14"/>
      <c r="F583" s="14">
        <v>3</v>
      </c>
    </row>
    <row r="584" s="1" customFormat="1" ht="18.75" spans="1:6">
      <c r="A584" s="14"/>
      <c r="B584" s="10" t="s">
        <v>69</v>
      </c>
      <c r="C584" s="10">
        <f t="shared" ref="C584:F584" si="76">SUM(C571:C583)</f>
        <v>33</v>
      </c>
      <c r="D584" s="10">
        <f t="shared" si="76"/>
        <v>30</v>
      </c>
      <c r="E584" s="10"/>
      <c r="F584" s="10">
        <f t="shared" si="76"/>
        <v>3</v>
      </c>
    </row>
    <row r="585" s="1" customFormat="1" ht="36" customHeight="1" spans="1:6">
      <c r="B585" s="70" t="s">
        <v>416</v>
      </c>
      <c r="C585" s="70"/>
      <c r="D585" s="70"/>
      <c r="E585" s="70"/>
      <c r="F585" s="70"/>
    </row>
    <row r="586" s="1" customFormat="1" ht="18.75" spans="1:6">
      <c r="A586" s="2" t="s">
        <v>417</v>
      </c>
      <c r="B586" s="31" t="str">
        <f>VLOOKUP(A586,$A$7:$B$50,2,FALSE)</f>
        <v>Vệ sinh - Dịch tễ</v>
      </c>
    </row>
    <row r="587" s="1" customFormat="1" ht="18.75" spans="1:6">
      <c r="A587" s="46" t="s">
        <v>79</v>
      </c>
      <c r="B587" s="46" t="s">
        <v>80</v>
      </c>
      <c r="C587" s="46" t="s">
        <v>81</v>
      </c>
      <c r="D587" s="46"/>
      <c r="E587" s="46"/>
      <c r="F587" s="46"/>
    </row>
    <row r="588" s="1" customFormat="1" ht="75" spans="1:6">
      <c r="A588" s="47"/>
      <c r="B588" s="47"/>
      <c r="C588" s="47" t="s">
        <v>7</v>
      </c>
      <c r="D588" s="47" t="s">
        <v>9</v>
      </c>
      <c r="E588" s="47" t="s">
        <v>82</v>
      </c>
      <c r="F588" s="47" t="s">
        <v>11</v>
      </c>
    </row>
    <row r="589" s="1" customFormat="1" ht="18.75" spans="1:6">
      <c r="A589" s="34">
        <v>1</v>
      </c>
      <c r="B589" s="80" t="s">
        <v>418</v>
      </c>
      <c r="C589" s="34">
        <v>1</v>
      </c>
      <c r="D589" s="34">
        <v>1</v>
      </c>
      <c r="E589" s="34"/>
      <c r="F589" s="34"/>
    </row>
    <row r="590" s="1" customFormat="1" ht="37.5" spans="1:6">
      <c r="A590" s="34">
        <v>2</v>
      </c>
      <c r="B590" s="80" t="s">
        <v>419</v>
      </c>
      <c r="C590" s="34">
        <v>1</v>
      </c>
      <c r="D590" s="34">
        <v>1</v>
      </c>
      <c r="E590" s="34"/>
      <c r="F590" s="34"/>
    </row>
    <row r="591" s="1" customFormat="1" ht="37.5" spans="1:6">
      <c r="A591" s="34">
        <v>3</v>
      </c>
      <c r="B591" s="80" t="s">
        <v>420</v>
      </c>
      <c r="C591" s="34">
        <v>2</v>
      </c>
      <c r="D591" s="34">
        <v>2</v>
      </c>
      <c r="E591" s="34"/>
      <c r="F591" s="34"/>
    </row>
    <row r="592" s="1" customFormat="1" ht="37.5" spans="1:6">
      <c r="A592" s="34">
        <v>4</v>
      </c>
      <c r="B592" s="80" t="s">
        <v>421</v>
      </c>
      <c r="C592" s="34">
        <v>2</v>
      </c>
      <c r="D592" s="34">
        <v>2</v>
      </c>
      <c r="E592" s="34"/>
      <c r="F592" s="34"/>
    </row>
    <row r="593" s="1" customFormat="1" ht="37.5" spans="1:6">
      <c r="A593" s="34">
        <v>5</v>
      </c>
      <c r="B593" s="80" t="s">
        <v>422</v>
      </c>
      <c r="C593" s="34">
        <v>2</v>
      </c>
      <c r="D593" s="34">
        <v>2</v>
      </c>
      <c r="E593" s="34"/>
      <c r="F593" s="34"/>
    </row>
    <row r="594" s="1" customFormat="1" ht="37.5" spans="1:6">
      <c r="A594" s="34">
        <v>6</v>
      </c>
      <c r="B594" s="80" t="s">
        <v>423</v>
      </c>
      <c r="C594" s="34">
        <v>2</v>
      </c>
      <c r="D594" s="34">
        <v>2</v>
      </c>
      <c r="E594" s="34"/>
      <c r="F594" s="34"/>
    </row>
    <row r="595" s="1" customFormat="1" ht="18.75" spans="1:6">
      <c r="A595" s="34"/>
      <c r="B595" s="80" t="s">
        <v>335</v>
      </c>
      <c r="C595" s="34">
        <v>1</v>
      </c>
      <c r="D595" s="34"/>
      <c r="E595" s="34"/>
      <c r="F595" s="34">
        <v>1</v>
      </c>
    </row>
    <row r="596" s="1" customFormat="1" ht="37.5" spans="1:6">
      <c r="A596" s="34">
        <v>7</v>
      </c>
      <c r="B596" s="80" t="s">
        <v>424</v>
      </c>
      <c r="C596" s="34">
        <v>1</v>
      </c>
      <c r="D596" s="34">
        <v>1</v>
      </c>
      <c r="E596" s="34"/>
      <c r="F596" s="34"/>
    </row>
    <row r="597" s="1" customFormat="1" ht="18.75" spans="1:6">
      <c r="A597" s="34">
        <v>8</v>
      </c>
      <c r="B597" s="80" t="s">
        <v>425</v>
      </c>
      <c r="C597" s="34">
        <v>1</v>
      </c>
      <c r="D597" s="34">
        <v>1</v>
      </c>
      <c r="E597" s="34"/>
      <c r="F597" s="34"/>
    </row>
    <row r="598" s="1" customFormat="1" ht="37.5" spans="1:6">
      <c r="A598" s="34">
        <v>9</v>
      </c>
      <c r="B598" s="80" t="s">
        <v>426</v>
      </c>
      <c r="C598" s="34">
        <v>1</v>
      </c>
      <c r="D598" s="34">
        <v>1</v>
      </c>
      <c r="E598" s="34"/>
      <c r="F598" s="34"/>
    </row>
    <row r="599" s="1" customFormat="1" ht="18.75" spans="1:6">
      <c r="A599" s="34">
        <v>10</v>
      </c>
      <c r="B599" s="80" t="s">
        <v>427</v>
      </c>
      <c r="C599" s="34">
        <v>1</v>
      </c>
      <c r="D599" s="34">
        <v>1</v>
      </c>
      <c r="E599" s="34"/>
      <c r="F599" s="34"/>
    </row>
    <row r="600" s="1" customFormat="1" ht="37.5" spans="1:6">
      <c r="A600" s="34">
        <v>11</v>
      </c>
      <c r="B600" s="80" t="s">
        <v>428</v>
      </c>
      <c r="C600" s="34">
        <v>1</v>
      </c>
      <c r="D600" s="34">
        <v>1</v>
      </c>
      <c r="E600" s="34"/>
      <c r="F600" s="34"/>
    </row>
    <row r="601" s="1" customFormat="1" ht="18.75" spans="1:6">
      <c r="A601" s="34">
        <v>12</v>
      </c>
      <c r="B601" s="80" t="s">
        <v>429</v>
      </c>
      <c r="C601" s="34">
        <v>1</v>
      </c>
      <c r="D601" s="34">
        <v>1</v>
      </c>
      <c r="E601" s="34"/>
      <c r="F601" s="34"/>
    </row>
    <row r="602" s="1" customFormat="1" ht="37.5" spans="1:6">
      <c r="A602" s="34">
        <v>13</v>
      </c>
      <c r="B602" s="80" t="s">
        <v>430</v>
      </c>
      <c r="C602" s="34">
        <v>1</v>
      </c>
      <c r="D602" s="34">
        <v>1</v>
      </c>
      <c r="E602" s="34"/>
      <c r="F602" s="34"/>
    </row>
    <row r="603" s="1" customFormat="1" ht="18.75" spans="1:6">
      <c r="A603" s="34">
        <v>14</v>
      </c>
      <c r="B603" s="80" t="s">
        <v>431</v>
      </c>
      <c r="C603" s="34">
        <v>1</v>
      </c>
      <c r="D603" s="34">
        <v>1</v>
      </c>
      <c r="E603" s="34"/>
      <c r="F603" s="34"/>
    </row>
    <row r="604" s="1" customFormat="1" ht="18.75" spans="1:6">
      <c r="A604" s="34">
        <v>15</v>
      </c>
      <c r="B604" s="80" t="s">
        <v>432</v>
      </c>
      <c r="C604" s="34">
        <v>2</v>
      </c>
      <c r="D604" s="34">
        <v>2</v>
      </c>
      <c r="E604" s="34"/>
      <c r="F604" s="34"/>
    </row>
    <row r="605" s="1" customFormat="1" ht="18.75" spans="1:6">
      <c r="A605" s="34">
        <v>16</v>
      </c>
      <c r="B605" s="80" t="s">
        <v>433</v>
      </c>
      <c r="C605" s="34">
        <v>2</v>
      </c>
      <c r="D605" s="34">
        <v>2</v>
      </c>
      <c r="E605" s="34"/>
      <c r="F605" s="34"/>
    </row>
    <row r="606" s="1" customFormat="1" ht="18.75" spans="1:6">
      <c r="A606" s="34">
        <v>17</v>
      </c>
      <c r="B606" s="80" t="s">
        <v>434</v>
      </c>
      <c r="C606" s="34">
        <v>2</v>
      </c>
      <c r="D606" s="34">
        <v>2</v>
      </c>
      <c r="E606" s="34"/>
      <c r="F606" s="34"/>
    </row>
    <row r="607" s="1" customFormat="1" ht="37.5" spans="1:6">
      <c r="A607" s="34">
        <v>18</v>
      </c>
      <c r="B607" s="80" t="s">
        <v>435</v>
      </c>
      <c r="C607" s="34">
        <v>2</v>
      </c>
      <c r="D607" s="34">
        <v>2</v>
      </c>
      <c r="E607" s="34"/>
      <c r="F607" s="34"/>
    </row>
    <row r="608" s="1" customFormat="1" ht="37.5" spans="1:6">
      <c r="A608" s="34">
        <v>19</v>
      </c>
      <c r="B608" s="80" t="s">
        <v>436</v>
      </c>
      <c r="C608" s="34">
        <v>2</v>
      </c>
      <c r="D608" s="34">
        <v>2</v>
      </c>
      <c r="E608" s="34"/>
      <c r="F608" s="34"/>
    </row>
    <row r="609" s="1" customFormat="1" ht="37.5" spans="1:6">
      <c r="A609" s="34">
        <v>20</v>
      </c>
      <c r="B609" s="80" t="s">
        <v>437</v>
      </c>
      <c r="C609" s="34">
        <v>2</v>
      </c>
      <c r="D609" s="34">
        <v>2</v>
      </c>
      <c r="E609" s="34"/>
      <c r="F609" s="34"/>
    </row>
    <row r="610" s="1" customFormat="1" ht="18.75" spans="1:6">
      <c r="A610" s="34">
        <v>21</v>
      </c>
      <c r="B610" s="80" t="s">
        <v>438</v>
      </c>
      <c r="C610" s="34">
        <v>2</v>
      </c>
      <c r="D610" s="34">
        <v>2</v>
      </c>
      <c r="E610" s="34"/>
      <c r="F610" s="34"/>
    </row>
    <row r="611" s="1" customFormat="1" ht="18.75" spans="1:6">
      <c r="A611" s="80"/>
      <c r="B611" s="80" t="s">
        <v>439</v>
      </c>
      <c r="C611" s="34">
        <v>3</v>
      </c>
      <c r="D611" s="34"/>
      <c r="E611" s="34"/>
      <c r="F611" s="34">
        <v>3</v>
      </c>
    </row>
    <row r="612" s="1" customFormat="1" ht="18.75" spans="1:6">
      <c r="A612" s="80"/>
      <c r="B612" s="36" t="s">
        <v>69</v>
      </c>
      <c r="C612" s="36">
        <f>SUM(C589:C611)</f>
        <v>36</v>
      </c>
      <c r="D612" s="36">
        <v>32</v>
      </c>
      <c r="E612" s="36">
        <v>0</v>
      </c>
      <c r="F612" s="36">
        <v>4</v>
      </c>
    </row>
    <row r="613" s="1" customFormat="1" ht="37.5" customHeight="1" spans="1:6">
      <c r="B613" s="40" t="s">
        <v>440</v>
      </c>
      <c r="C613" s="40"/>
      <c r="D613" s="40"/>
      <c r="E613" s="40"/>
      <c r="F613" s="40"/>
    </row>
    <row r="614" s="1" customFormat="1" ht="18.75" spans="1:6">
      <c r="A614" s="2" t="s">
        <v>441</v>
      </c>
      <c r="B614" s="31" t="str">
        <f>VLOOKUP(A614,$A$7:$B$50,2,FALSE)</f>
        <v>Cấp cứu đầu tiên</v>
      </c>
    </row>
    <row r="615" s="1" customFormat="1" ht="18.75" customHeight="1" spans="1:6">
      <c r="A615" s="47" t="s">
        <v>79</v>
      </c>
      <c r="B615" s="47" t="s">
        <v>80</v>
      </c>
      <c r="C615" s="81" t="s">
        <v>81</v>
      </c>
      <c r="D615" s="82"/>
      <c r="E615" s="82"/>
      <c r="F615" s="83"/>
    </row>
    <row r="616" s="1" customFormat="1" ht="75" spans="1:6">
      <c r="A616" s="84"/>
      <c r="B616" s="84"/>
      <c r="C616" s="47" t="s">
        <v>7</v>
      </c>
      <c r="D616" s="47" t="s">
        <v>9</v>
      </c>
      <c r="E616" s="47" t="s">
        <v>82</v>
      </c>
      <c r="F616" s="47" t="s">
        <v>11</v>
      </c>
    </row>
    <row r="617" s="1" customFormat="1" ht="18.75" spans="1:6">
      <c r="A617" s="34">
        <v>1</v>
      </c>
      <c r="B617" s="35" t="s">
        <v>442</v>
      </c>
      <c r="C617" s="34">
        <v>2</v>
      </c>
      <c r="D617" s="34">
        <v>2</v>
      </c>
      <c r="E617" s="36"/>
      <c r="F617" s="36"/>
    </row>
    <row r="618" s="1" customFormat="1" ht="18.75" spans="1:6">
      <c r="A618" s="34">
        <v>2</v>
      </c>
      <c r="B618" s="35" t="s">
        <v>443</v>
      </c>
      <c r="C618" s="34">
        <v>2</v>
      </c>
      <c r="D618" s="34">
        <v>2</v>
      </c>
      <c r="E618" s="36"/>
      <c r="F618" s="36"/>
    </row>
    <row r="619" s="1" customFormat="1" ht="18.75" spans="1:6">
      <c r="A619" s="34">
        <v>3</v>
      </c>
      <c r="B619" s="35" t="s">
        <v>444</v>
      </c>
      <c r="C619" s="34">
        <v>2</v>
      </c>
      <c r="D619" s="34">
        <v>2</v>
      </c>
      <c r="E619" s="36"/>
      <c r="F619" s="36"/>
    </row>
    <row r="620" s="1" customFormat="1" ht="18.75" spans="1:6">
      <c r="A620" s="34">
        <v>4</v>
      </c>
      <c r="B620" s="35" t="s">
        <v>445</v>
      </c>
      <c r="C620" s="34">
        <v>2</v>
      </c>
      <c r="D620" s="34">
        <v>2</v>
      </c>
      <c r="E620" s="36"/>
      <c r="F620" s="36"/>
    </row>
    <row r="621" s="1" customFormat="1" ht="18.75" spans="1:6">
      <c r="A621" s="34">
        <v>5</v>
      </c>
      <c r="B621" s="35" t="s">
        <v>446</v>
      </c>
      <c r="C621" s="34">
        <v>2</v>
      </c>
      <c r="D621" s="34">
        <v>2</v>
      </c>
      <c r="E621" s="36"/>
      <c r="F621" s="36"/>
    </row>
    <row r="622" s="1" customFormat="1" ht="37.5" spans="1:6">
      <c r="A622" s="34">
        <v>6</v>
      </c>
      <c r="B622" s="35" t="s">
        <v>447</v>
      </c>
      <c r="C622" s="34">
        <v>2</v>
      </c>
      <c r="D622" s="34">
        <v>2</v>
      </c>
      <c r="E622" s="36"/>
      <c r="F622" s="36"/>
    </row>
    <row r="623" s="1" customFormat="1" ht="18.75" spans="1:6">
      <c r="A623" s="34">
        <v>7</v>
      </c>
      <c r="B623" s="35" t="s">
        <v>448</v>
      </c>
      <c r="C623" s="34">
        <v>2</v>
      </c>
      <c r="D623" s="34">
        <v>2</v>
      </c>
      <c r="E623" s="36"/>
      <c r="F623" s="36"/>
    </row>
    <row r="624" s="1" customFormat="1" ht="18.75" spans="1:6">
      <c r="A624" s="34">
        <v>8</v>
      </c>
      <c r="B624" s="35" t="s">
        <v>449</v>
      </c>
      <c r="C624" s="34">
        <v>2</v>
      </c>
      <c r="D624" s="34">
        <v>2</v>
      </c>
      <c r="E624" s="36"/>
      <c r="F624" s="36"/>
    </row>
    <row r="625" s="1" customFormat="1" ht="18.75" spans="1:6">
      <c r="A625" s="34">
        <v>9</v>
      </c>
      <c r="B625" s="35" t="s">
        <v>450</v>
      </c>
      <c r="C625" s="34">
        <v>6</v>
      </c>
      <c r="D625" s="36"/>
      <c r="E625" s="34">
        <v>6</v>
      </c>
      <c r="F625" s="36"/>
    </row>
    <row r="626" s="1" customFormat="1" ht="18.75" spans="1:6">
      <c r="A626" s="34">
        <v>10</v>
      </c>
      <c r="B626" s="35" t="s">
        <v>451</v>
      </c>
      <c r="C626" s="34">
        <v>3</v>
      </c>
      <c r="D626" s="34"/>
      <c r="E626" s="34">
        <v>3</v>
      </c>
      <c r="F626" s="36"/>
    </row>
    <row r="627" s="1" customFormat="1" ht="18.75" spans="1:6">
      <c r="A627" s="34">
        <v>11</v>
      </c>
      <c r="B627" s="35" t="s">
        <v>452</v>
      </c>
      <c r="C627" s="34">
        <v>3</v>
      </c>
      <c r="D627" s="34"/>
      <c r="E627" s="34">
        <v>3</v>
      </c>
      <c r="F627" s="36"/>
    </row>
    <row r="628" s="1" customFormat="1" ht="18.75" spans="1:6">
      <c r="A628" s="34">
        <v>12</v>
      </c>
      <c r="B628" s="35" t="s">
        <v>453</v>
      </c>
      <c r="C628" s="34">
        <v>3</v>
      </c>
      <c r="D628" s="34"/>
      <c r="E628" s="34">
        <v>3</v>
      </c>
      <c r="F628" s="36"/>
    </row>
    <row r="629" s="1" customFormat="1" ht="37.5" spans="1:6">
      <c r="A629" s="34">
        <v>13</v>
      </c>
      <c r="B629" s="35" t="s">
        <v>454</v>
      </c>
      <c r="C629" s="34">
        <v>6</v>
      </c>
      <c r="D629" s="34"/>
      <c r="E629" s="34">
        <v>6</v>
      </c>
      <c r="F629" s="36"/>
    </row>
    <row r="630" s="1" customFormat="1" ht="37.5" spans="1:6">
      <c r="A630" s="34">
        <v>14</v>
      </c>
      <c r="B630" s="35" t="s">
        <v>455</v>
      </c>
      <c r="C630" s="34">
        <v>3</v>
      </c>
      <c r="D630" s="34"/>
      <c r="E630" s="34">
        <v>3</v>
      </c>
      <c r="F630" s="36"/>
    </row>
    <row r="631" s="1" customFormat="1" ht="18.75" spans="1:6">
      <c r="A631" s="34">
        <v>15</v>
      </c>
      <c r="B631" s="35" t="s">
        <v>456</v>
      </c>
      <c r="C631" s="34">
        <v>3</v>
      </c>
      <c r="D631" s="34"/>
      <c r="E631" s="34">
        <v>3</v>
      </c>
      <c r="F631" s="36"/>
    </row>
    <row r="632" s="1" customFormat="1" ht="18.75" spans="1:6">
      <c r="A632" s="34">
        <v>16</v>
      </c>
      <c r="B632" s="35" t="s">
        <v>457</v>
      </c>
      <c r="C632" s="34">
        <v>3</v>
      </c>
      <c r="D632" s="34"/>
      <c r="E632" s="34">
        <v>3</v>
      </c>
      <c r="F632" s="36"/>
    </row>
    <row r="633" s="1" customFormat="1" ht="18.75" spans="1:6">
      <c r="A633" s="36"/>
      <c r="B633" s="35" t="s">
        <v>458</v>
      </c>
      <c r="C633" s="34">
        <v>4</v>
      </c>
      <c r="D633" s="34"/>
      <c r="E633" s="34"/>
      <c r="F633" s="34">
        <v>4</v>
      </c>
    </row>
    <row r="634" s="1" customFormat="1" ht="18.75" spans="1:6">
      <c r="A634" s="36"/>
      <c r="B634" s="36" t="s">
        <v>69</v>
      </c>
      <c r="C634" s="5">
        <f t="shared" ref="C634:F634" si="77">SUM(C617:C633)</f>
        <v>50</v>
      </c>
      <c r="D634" s="5">
        <f t="shared" si="77"/>
        <v>16</v>
      </c>
      <c r="E634" s="5">
        <f t="shared" si="77"/>
        <v>30</v>
      </c>
      <c r="F634" s="5">
        <f t="shared" si="77"/>
        <v>4</v>
      </c>
    </row>
    <row r="635" s="1" customFormat="1" ht="33.45" customHeight="1" spans="1:6">
      <c r="B635" s="85" t="s">
        <v>459</v>
      </c>
      <c r="C635" s="85"/>
      <c r="D635" s="85"/>
      <c r="E635" s="85"/>
      <c r="F635" s="85"/>
    </row>
    <row r="636" s="1" customFormat="1" ht="18.75" spans="1:6">
      <c r="A636" s="2" t="s">
        <v>460</v>
      </c>
      <c r="B636" s="31" t="str">
        <f>VLOOKUP(A636,$A$7:$B$50,2,FALSE)</f>
        <v>Bệnh học </v>
      </c>
    </row>
    <row r="637" s="1" customFormat="1" ht="18.75" spans="1:6">
      <c r="A637" s="46" t="s">
        <v>79</v>
      </c>
      <c r="B637" s="46" t="s">
        <v>80</v>
      </c>
      <c r="C637" s="46" t="s">
        <v>81</v>
      </c>
      <c r="D637" s="46"/>
      <c r="E637" s="46"/>
      <c r="F637" s="46"/>
    </row>
    <row r="638" s="1" customFormat="1" ht="75" spans="1:6">
      <c r="A638" s="47"/>
      <c r="B638" s="47"/>
      <c r="C638" s="47" t="s">
        <v>7</v>
      </c>
      <c r="D638" s="47" t="s">
        <v>9</v>
      </c>
      <c r="E638" s="47" t="s">
        <v>82</v>
      </c>
      <c r="F638" s="47" t="s">
        <v>11</v>
      </c>
    </row>
    <row r="639" s="1" customFormat="1" ht="37.5" spans="1:6">
      <c r="A639" s="56">
        <v>1</v>
      </c>
      <c r="B639" s="57" t="s">
        <v>461</v>
      </c>
      <c r="C639" s="56">
        <v>1</v>
      </c>
      <c r="D639" s="56">
        <v>1</v>
      </c>
      <c r="E639" s="56"/>
      <c r="F639" s="56"/>
    </row>
    <row r="640" s="1" customFormat="1" ht="18.75" spans="1:6">
      <c r="A640" s="56"/>
      <c r="B640" s="57" t="s">
        <v>462</v>
      </c>
      <c r="C640" s="56">
        <v>6</v>
      </c>
      <c r="D640" s="56">
        <v>6</v>
      </c>
      <c r="E640" s="41"/>
      <c r="F640" s="56"/>
    </row>
    <row r="641" s="1" customFormat="1" ht="18.75" spans="1:6">
      <c r="A641" s="56"/>
      <c r="B641" s="57" t="s">
        <v>463</v>
      </c>
      <c r="C641" s="56">
        <v>1</v>
      </c>
      <c r="D641" s="56">
        <v>1</v>
      </c>
      <c r="E641" s="56"/>
      <c r="F641" s="56"/>
    </row>
    <row r="642" s="1" customFormat="1" ht="18.75" spans="1:6">
      <c r="A642" s="56"/>
      <c r="B642" s="42" t="s">
        <v>464</v>
      </c>
      <c r="C642" s="41">
        <v>1</v>
      </c>
      <c r="D642" s="41">
        <v>1</v>
      </c>
      <c r="E642" s="56"/>
      <c r="F642" s="56"/>
    </row>
    <row r="643" s="1" customFormat="1" ht="18.75" spans="1:6">
      <c r="A643" s="56"/>
      <c r="B643" s="57" t="s">
        <v>465</v>
      </c>
      <c r="C643" s="56">
        <v>1</v>
      </c>
      <c r="D643" s="56">
        <v>1</v>
      </c>
      <c r="E643" s="56"/>
      <c r="F643" s="56"/>
    </row>
    <row r="644" s="1" customFormat="1" ht="18.75" spans="1:6">
      <c r="A644" s="56"/>
      <c r="B644" s="57" t="s">
        <v>466</v>
      </c>
      <c r="C644" s="56">
        <v>1</v>
      </c>
      <c r="D644" s="56">
        <v>1</v>
      </c>
      <c r="E644" s="56"/>
      <c r="F644" s="56"/>
    </row>
    <row r="645" s="1" customFormat="1" ht="18.75" spans="1:6">
      <c r="A645" s="56">
        <v>3</v>
      </c>
      <c r="B645" s="57" t="s">
        <v>467</v>
      </c>
      <c r="C645" s="56">
        <v>9</v>
      </c>
      <c r="D645" s="56">
        <v>9</v>
      </c>
      <c r="E645" s="56"/>
      <c r="F645" s="56"/>
    </row>
    <row r="646" s="1" customFormat="1" ht="18.75" spans="1:6">
      <c r="A646" s="56"/>
      <c r="B646" s="57" t="s">
        <v>468</v>
      </c>
      <c r="C646" s="56">
        <v>3</v>
      </c>
      <c r="D646" s="56">
        <v>3</v>
      </c>
      <c r="E646" s="56"/>
      <c r="F646" s="56"/>
    </row>
    <row r="647" s="1" customFormat="1" ht="18.75" spans="1:6">
      <c r="A647" s="56"/>
      <c r="B647" s="57" t="s">
        <v>469</v>
      </c>
      <c r="C647" s="56">
        <v>2</v>
      </c>
      <c r="D647" s="56">
        <v>2</v>
      </c>
      <c r="E647" s="56"/>
      <c r="F647" s="56"/>
    </row>
    <row r="648" s="1" customFormat="1" ht="18.75" spans="1:6">
      <c r="A648" s="56"/>
      <c r="B648" s="57" t="s">
        <v>470</v>
      </c>
      <c r="C648" s="56">
        <v>2</v>
      </c>
      <c r="D648" s="56">
        <v>2</v>
      </c>
      <c r="E648" s="56"/>
      <c r="F648" s="56"/>
    </row>
    <row r="649" s="1" customFormat="1" ht="18.75" spans="1:6">
      <c r="A649" s="56">
        <v>4</v>
      </c>
      <c r="B649" s="57" t="s">
        <v>471</v>
      </c>
      <c r="C649" s="56">
        <v>9</v>
      </c>
      <c r="D649" s="56">
        <v>9</v>
      </c>
      <c r="E649" s="56"/>
      <c r="F649" s="56"/>
    </row>
    <row r="650" s="1" customFormat="1" ht="18.75" spans="1:6">
      <c r="A650" s="56"/>
      <c r="B650" s="57" t="s">
        <v>472</v>
      </c>
      <c r="C650" s="56">
        <v>2</v>
      </c>
      <c r="D650" s="56">
        <v>2</v>
      </c>
      <c r="E650" s="56"/>
      <c r="F650" s="56"/>
    </row>
    <row r="651" s="1" customFormat="1" ht="18.75" spans="1:6">
      <c r="A651" s="56"/>
      <c r="B651" s="57" t="s">
        <v>473</v>
      </c>
      <c r="C651" s="56">
        <v>1</v>
      </c>
      <c r="D651" s="56">
        <v>1</v>
      </c>
      <c r="E651" s="56"/>
      <c r="F651" s="56"/>
    </row>
    <row r="652" s="1" customFormat="1" ht="18.75" spans="1:6">
      <c r="A652" s="56"/>
      <c r="B652" s="57" t="s">
        <v>474</v>
      </c>
      <c r="C652" s="56">
        <v>2</v>
      </c>
      <c r="D652" s="56">
        <v>2</v>
      </c>
      <c r="E652" s="56"/>
      <c r="F652" s="56"/>
    </row>
    <row r="653" s="1" customFormat="1" ht="18.75" spans="1:6">
      <c r="A653" s="56"/>
      <c r="B653" s="57" t="s">
        <v>475</v>
      </c>
      <c r="C653" s="56">
        <v>1</v>
      </c>
      <c r="D653" s="56">
        <v>1</v>
      </c>
      <c r="E653" s="56"/>
      <c r="F653" s="56"/>
    </row>
    <row r="654" s="1" customFormat="1" ht="18.75" spans="1:6">
      <c r="A654" s="56"/>
      <c r="B654" s="57" t="s">
        <v>476</v>
      </c>
      <c r="C654" s="56">
        <v>3</v>
      </c>
      <c r="D654" s="56">
        <v>3</v>
      </c>
      <c r="E654" s="56"/>
      <c r="F654" s="56"/>
    </row>
    <row r="655" s="1" customFormat="1" ht="18.75" spans="1:6">
      <c r="A655" s="56">
        <v>6</v>
      </c>
      <c r="B655" s="57" t="s">
        <v>477</v>
      </c>
      <c r="C655" s="56">
        <v>5</v>
      </c>
      <c r="D655" s="56">
        <v>5</v>
      </c>
      <c r="E655" s="56"/>
      <c r="F655" s="56"/>
    </row>
    <row r="656" s="1" customFormat="1" ht="18.75" spans="1:6">
      <c r="A656" s="56"/>
      <c r="B656" s="57" t="s">
        <v>478</v>
      </c>
      <c r="C656" s="56">
        <v>2</v>
      </c>
      <c r="D656" s="56">
        <v>2</v>
      </c>
      <c r="E656" s="56"/>
      <c r="F656" s="56"/>
    </row>
    <row r="657" s="1" customFormat="1" ht="18.75" spans="1:6">
      <c r="A657" s="56"/>
      <c r="B657" s="57" t="s">
        <v>479</v>
      </c>
      <c r="C657" s="56">
        <v>1</v>
      </c>
      <c r="D657" s="56">
        <v>1</v>
      </c>
      <c r="E657" s="56"/>
      <c r="F657" s="56"/>
    </row>
    <row r="658" s="1" customFormat="1" ht="18.75" spans="1:6">
      <c r="A658" s="56"/>
      <c r="B658" s="57" t="s">
        <v>480</v>
      </c>
      <c r="C658" s="56">
        <v>1</v>
      </c>
      <c r="D658" s="56">
        <v>1</v>
      </c>
      <c r="E658" s="56"/>
      <c r="F658" s="56"/>
    </row>
    <row r="659" s="1" customFormat="1" ht="18.75" spans="1:6">
      <c r="A659" s="56"/>
      <c r="B659" s="57" t="s">
        <v>481</v>
      </c>
      <c r="C659" s="56">
        <v>1</v>
      </c>
      <c r="D659" s="56">
        <v>1</v>
      </c>
      <c r="E659" s="56"/>
      <c r="F659" s="56"/>
    </row>
    <row r="660" s="1" customFormat="1" ht="18.75" spans="1:6">
      <c r="A660" s="56">
        <v>7</v>
      </c>
      <c r="B660" s="57" t="s">
        <v>482</v>
      </c>
      <c r="C660" s="56">
        <v>3</v>
      </c>
      <c r="D660" s="56">
        <v>3</v>
      </c>
      <c r="E660" s="56"/>
      <c r="F660" s="56"/>
    </row>
    <row r="661" s="1" customFormat="1" ht="18.75" spans="1:6">
      <c r="A661" s="56"/>
      <c r="B661" s="57" t="s">
        <v>483</v>
      </c>
      <c r="C661" s="56">
        <v>3</v>
      </c>
      <c r="D661" s="56">
        <v>3</v>
      </c>
      <c r="E661" s="56"/>
      <c r="F661" s="56"/>
    </row>
    <row r="662" s="1" customFormat="1" ht="37.5" spans="1:6">
      <c r="A662" s="56">
        <v>8</v>
      </c>
      <c r="B662" s="57" t="s">
        <v>484</v>
      </c>
      <c r="C662" s="56">
        <v>5</v>
      </c>
      <c r="D662" s="56">
        <v>5</v>
      </c>
      <c r="E662" s="56"/>
      <c r="F662" s="56"/>
    </row>
    <row r="663" s="1" customFormat="1" ht="37.5" spans="1:6">
      <c r="A663" s="56"/>
      <c r="B663" s="57" t="s">
        <v>485</v>
      </c>
      <c r="C663" s="56">
        <v>2</v>
      </c>
      <c r="D663" s="56">
        <v>2</v>
      </c>
      <c r="E663" s="56"/>
      <c r="F663" s="56"/>
    </row>
    <row r="664" s="1" customFormat="1" ht="18.75" spans="1:6">
      <c r="A664" s="56"/>
      <c r="B664" s="57" t="s">
        <v>486</v>
      </c>
      <c r="C664" s="56">
        <v>1</v>
      </c>
      <c r="D664" s="56">
        <v>1</v>
      </c>
      <c r="E664" s="56"/>
      <c r="F664" s="56"/>
    </row>
    <row r="665" s="1" customFormat="1" ht="18.75" spans="1:6">
      <c r="A665" s="56"/>
      <c r="B665" s="57" t="s">
        <v>487</v>
      </c>
      <c r="C665" s="56">
        <v>1</v>
      </c>
      <c r="D665" s="56">
        <v>1</v>
      </c>
      <c r="E665" s="56"/>
      <c r="F665" s="56"/>
    </row>
    <row r="666" s="1" customFormat="1" ht="18.75" spans="1:6">
      <c r="A666" s="56"/>
      <c r="B666" s="57" t="s">
        <v>488</v>
      </c>
      <c r="C666" s="56">
        <v>1</v>
      </c>
      <c r="D666" s="56">
        <v>1</v>
      </c>
      <c r="E666" s="56"/>
      <c r="F666" s="56"/>
    </row>
    <row r="667" s="1" customFormat="1" ht="37.5" spans="1:6">
      <c r="A667" s="56">
        <v>8</v>
      </c>
      <c r="B667" s="57" t="s">
        <v>489</v>
      </c>
      <c r="C667" s="56">
        <v>5</v>
      </c>
      <c r="D667" s="56">
        <v>5</v>
      </c>
      <c r="E667" s="56"/>
      <c r="F667" s="56"/>
    </row>
    <row r="668" s="1" customFormat="1" ht="37.5" spans="1:6">
      <c r="A668" s="56"/>
      <c r="B668" s="57" t="s">
        <v>490</v>
      </c>
      <c r="C668" s="56">
        <v>1</v>
      </c>
      <c r="D668" s="56">
        <v>1</v>
      </c>
      <c r="E668" s="56"/>
      <c r="F668" s="56"/>
    </row>
    <row r="669" s="1" customFormat="1" ht="18.75" spans="1:6">
      <c r="A669" s="56"/>
      <c r="B669" s="57" t="s">
        <v>491</v>
      </c>
      <c r="C669" s="56">
        <v>1</v>
      </c>
      <c r="D669" s="56">
        <v>1</v>
      </c>
      <c r="E669" s="56"/>
      <c r="F669" s="56"/>
    </row>
    <row r="670" s="1" customFormat="1" ht="18.75" spans="1:6">
      <c r="A670" s="56"/>
      <c r="B670" s="57" t="s">
        <v>492</v>
      </c>
      <c r="C670" s="56">
        <v>1</v>
      </c>
      <c r="D670" s="56">
        <v>1</v>
      </c>
      <c r="E670" s="56"/>
      <c r="F670" s="56"/>
    </row>
    <row r="671" s="1" customFormat="1" ht="18.75" spans="1:6">
      <c r="A671" s="56"/>
      <c r="B671" s="57" t="s">
        <v>493</v>
      </c>
      <c r="C671" s="56">
        <v>2</v>
      </c>
      <c r="D671" s="56">
        <v>2</v>
      </c>
      <c r="E671" s="56"/>
      <c r="F671" s="56"/>
    </row>
    <row r="672" s="1" customFormat="1" ht="18.75" spans="1:6">
      <c r="A672" s="56"/>
      <c r="B672" s="57" t="s">
        <v>494</v>
      </c>
      <c r="C672" s="56">
        <v>2</v>
      </c>
      <c r="D672" s="56"/>
      <c r="E672" s="56"/>
      <c r="F672" s="56">
        <v>2</v>
      </c>
    </row>
    <row r="673" s="1" customFormat="1" ht="18.75" spans="1:6">
      <c r="A673" s="56"/>
      <c r="B673" s="8" t="s">
        <v>69</v>
      </c>
      <c r="C673" s="8">
        <f t="shared" ref="C673:F673" si="78">SUM(C639,C640,C645,C649,C655,C660,C662,C667,C672)</f>
        <v>45</v>
      </c>
      <c r="D673" s="8">
        <f t="shared" si="78"/>
        <v>43</v>
      </c>
      <c r="E673" s="8"/>
      <c r="F673" s="8">
        <f t="shared" si="78"/>
        <v>2</v>
      </c>
    </row>
    <row r="674" s="1" customFormat="1" ht="40.5" customHeight="1" spans="1:6">
      <c r="A674" s="86"/>
      <c r="B674" s="79" t="s">
        <v>495</v>
      </c>
      <c r="C674" s="79"/>
      <c r="D674" s="79"/>
      <c r="E674" s="79"/>
      <c r="F674" s="79"/>
    </row>
    <row r="675" s="1" customFormat="1" ht="18.75" spans="1:6">
      <c r="A675" s="2" t="s">
        <v>496</v>
      </c>
      <c r="B675" s="31" t="str">
        <f>VLOOKUP(A675,$A$7:$B$50,2,FALSE)</f>
        <v>Hóa phân tích</v>
      </c>
      <c r="C675" s="2"/>
      <c r="D675" s="2"/>
      <c r="E675" s="2"/>
      <c r="F675" s="2"/>
    </row>
    <row r="676" s="1" customFormat="1" ht="18.75" spans="1:6">
      <c r="A676" s="46" t="s">
        <v>79</v>
      </c>
      <c r="B676" s="46" t="s">
        <v>80</v>
      </c>
      <c r="C676" s="46" t="s">
        <v>81</v>
      </c>
      <c r="D676" s="46"/>
      <c r="E676" s="46"/>
      <c r="F676" s="46"/>
    </row>
    <row r="677" s="1" customFormat="1" ht="75" spans="1:6">
      <c r="A677" s="47"/>
      <c r="B677" s="47"/>
      <c r="C677" s="47" t="s">
        <v>7</v>
      </c>
      <c r="D677" s="47" t="s">
        <v>9</v>
      </c>
      <c r="E677" s="47" t="s">
        <v>82</v>
      </c>
      <c r="F677" s="47" t="s">
        <v>11</v>
      </c>
    </row>
    <row r="678" s="1" customFormat="1" ht="18.75" spans="1:6">
      <c r="A678" s="41"/>
      <c r="B678" s="63" t="s">
        <v>308</v>
      </c>
      <c r="C678" s="6">
        <v>42</v>
      </c>
      <c r="D678" s="6">
        <v>42</v>
      </c>
      <c r="E678" s="41"/>
      <c r="F678" s="41"/>
    </row>
    <row r="679" s="1" customFormat="1" ht="37.5" spans="1:6">
      <c r="A679" s="41">
        <v>1</v>
      </c>
      <c r="B679" s="42" t="s">
        <v>497</v>
      </c>
      <c r="C679" s="41">
        <v>3</v>
      </c>
      <c r="D679" s="41">
        <v>3</v>
      </c>
      <c r="E679" s="41"/>
      <c r="F679" s="41"/>
    </row>
    <row r="680" s="1" customFormat="1" ht="18.75" spans="1:6">
      <c r="A680" s="41">
        <v>2</v>
      </c>
      <c r="B680" s="42" t="s">
        <v>498</v>
      </c>
      <c r="C680" s="41"/>
      <c r="D680" s="41"/>
      <c r="E680" s="41"/>
      <c r="F680" s="41"/>
    </row>
    <row r="681" s="1" customFormat="1" ht="37.5" spans="1:6">
      <c r="A681" s="41"/>
      <c r="B681" s="42" t="s">
        <v>499</v>
      </c>
      <c r="C681" s="41">
        <v>2</v>
      </c>
      <c r="D681" s="41">
        <v>2</v>
      </c>
      <c r="E681" s="41"/>
      <c r="F681" s="41"/>
    </row>
    <row r="682" s="1" customFormat="1" ht="42" spans="1:6">
      <c r="A682" s="41"/>
      <c r="B682" s="42" t="s">
        <v>500</v>
      </c>
      <c r="C682" s="41">
        <v>2</v>
      </c>
      <c r="D682" s="41">
        <v>2</v>
      </c>
      <c r="E682" s="41"/>
      <c r="F682" s="41"/>
    </row>
    <row r="683" s="1" customFormat="1" ht="38.25" spans="1:6">
      <c r="A683" s="41"/>
      <c r="B683" s="42" t="s">
        <v>501</v>
      </c>
      <c r="C683" s="41">
        <v>2</v>
      </c>
      <c r="D683" s="41">
        <v>2</v>
      </c>
      <c r="E683" s="41"/>
      <c r="F683" s="41"/>
    </row>
    <row r="684" s="1" customFormat="1" ht="38.25" spans="1:6">
      <c r="A684" s="41"/>
      <c r="B684" s="42" t="s">
        <v>502</v>
      </c>
      <c r="C684" s="41">
        <v>2</v>
      </c>
      <c r="D684" s="41">
        <v>2</v>
      </c>
      <c r="E684" s="41"/>
      <c r="F684" s="41"/>
    </row>
    <row r="685" s="1" customFormat="1" ht="38.25" spans="1:6">
      <c r="A685" s="41"/>
      <c r="B685" s="42" t="s">
        <v>503</v>
      </c>
      <c r="C685" s="41">
        <v>2</v>
      </c>
      <c r="D685" s="41">
        <v>2</v>
      </c>
      <c r="E685" s="41"/>
      <c r="F685" s="41"/>
    </row>
    <row r="686" s="1" customFormat="1" ht="38.25" spans="1:6">
      <c r="A686" s="41"/>
      <c r="B686" s="42" t="s">
        <v>504</v>
      </c>
      <c r="C686" s="41">
        <v>2</v>
      </c>
      <c r="D686" s="41">
        <v>2</v>
      </c>
      <c r="E686" s="41"/>
      <c r="F686" s="41"/>
    </row>
    <row r="687" s="1" customFormat="1" ht="42" spans="1:6">
      <c r="A687" s="41"/>
      <c r="B687" s="42" t="s">
        <v>505</v>
      </c>
      <c r="C687" s="41">
        <v>2</v>
      </c>
      <c r="D687" s="41">
        <v>2</v>
      </c>
      <c r="E687" s="41"/>
      <c r="F687" s="41"/>
    </row>
    <row r="688" s="1" customFormat="1" ht="42" spans="1:6">
      <c r="A688" s="41"/>
      <c r="B688" s="42" t="s">
        <v>506</v>
      </c>
      <c r="C688" s="41">
        <v>2</v>
      </c>
      <c r="D688" s="41">
        <v>2</v>
      </c>
      <c r="E688" s="41"/>
      <c r="F688" s="41"/>
    </row>
    <row r="689" s="1" customFormat="1" ht="18.75" spans="1:6">
      <c r="A689" s="41"/>
      <c r="B689" s="42" t="s">
        <v>507</v>
      </c>
      <c r="C689" s="41"/>
      <c r="D689" s="41"/>
      <c r="E689" s="41"/>
      <c r="F689" s="41"/>
    </row>
    <row r="690" s="1" customFormat="1" ht="18.75" spans="1:6">
      <c r="A690" s="41"/>
      <c r="B690" s="42" t="s">
        <v>508</v>
      </c>
      <c r="C690" s="41"/>
      <c r="D690" s="41"/>
      <c r="E690" s="41"/>
      <c r="F690" s="41"/>
    </row>
    <row r="691" s="1" customFormat="1" ht="18.75" spans="1:6">
      <c r="A691" s="41"/>
      <c r="B691" s="42" t="s">
        <v>509</v>
      </c>
      <c r="C691" s="41"/>
      <c r="D691" s="41"/>
      <c r="E691" s="41"/>
      <c r="F691" s="41"/>
    </row>
    <row r="692" s="1" customFormat="1" ht="65.25" spans="1:6">
      <c r="A692" s="41"/>
      <c r="B692" s="42" t="s">
        <v>510</v>
      </c>
      <c r="C692" s="41">
        <v>2</v>
      </c>
      <c r="D692" s="41">
        <v>2</v>
      </c>
      <c r="E692" s="41"/>
      <c r="F692" s="41"/>
    </row>
    <row r="693" s="1" customFormat="1" ht="37.5" spans="1:6">
      <c r="A693" s="41"/>
      <c r="B693" s="42" t="s">
        <v>511</v>
      </c>
      <c r="C693" s="41">
        <v>3</v>
      </c>
      <c r="D693" s="41">
        <v>3</v>
      </c>
      <c r="E693" s="41"/>
      <c r="F693" s="41"/>
    </row>
    <row r="694" s="1" customFormat="1" ht="18.75" spans="1:6">
      <c r="A694" s="41">
        <v>3</v>
      </c>
      <c r="B694" s="42" t="s">
        <v>512</v>
      </c>
      <c r="C694" s="41"/>
      <c r="D694" s="41"/>
      <c r="E694" s="41"/>
      <c r="F694" s="41"/>
    </row>
    <row r="695" s="1" customFormat="1" ht="37.5" spans="1:6">
      <c r="A695" s="41"/>
      <c r="B695" s="42" t="s">
        <v>513</v>
      </c>
      <c r="C695" s="41">
        <v>2</v>
      </c>
      <c r="D695" s="41">
        <v>2</v>
      </c>
      <c r="E695" s="41"/>
      <c r="F695" s="41"/>
    </row>
    <row r="696" s="1" customFormat="1" ht="18.75" spans="1:6">
      <c r="A696" s="41"/>
      <c r="B696" s="42" t="s">
        <v>514</v>
      </c>
      <c r="C696" s="41">
        <v>2</v>
      </c>
      <c r="D696" s="41">
        <v>2</v>
      </c>
      <c r="E696" s="41"/>
      <c r="F696" s="41"/>
    </row>
    <row r="697" s="1" customFormat="1" ht="37.5" spans="1:6">
      <c r="A697" s="41"/>
      <c r="B697" s="42" t="s">
        <v>515</v>
      </c>
      <c r="C697" s="41">
        <v>3</v>
      </c>
      <c r="D697" s="41">
        <v>3</v>
      </c>
      <c r="E697" s="41"/>
      <c r="F697" s="41"/>
    </row>
    <row r="698" s="1" customFormat="1" ht="18.75" spans="1:6">
      <c r="A698" s="41"/>
      <c r="B698" s="42" t="s">
        <v>516</v>
      </c>
      <c r="C698" s="41">
        <v>3</v>
      </c>
      <c r="D698" s="41">
        <v>3</v>
      </c>
      <c r="E698" s="41"/>
      <c r="F698" s="41"/>
    </row>
    <row r="699" s="1" customFormat="1" ht="18.75" spans="1:6">
      <c r="A699" s="41"/>
      <c r="B699" s="42" t="s">
        <v>517</v>
      </c>
      <c r="C699" s="41">
        <v>4</v>
      </c>
      <c r="D699" s="41">
        <v>4</v>
      </c>
      <c r="E699" s="41"/>
      <c r="F699" s="41"/>
    </row>
    <row r="700" s="1" customFormat="1" ht="18.75" spans="1:6">
      <c r="A700" s="41"/>
      <c r="B700" s="42" t="s">
        <v>518</v>
      </c>
      <c r="C700" s="41">
        <v>2</v>
      </c>
      <c r="D700" s="41">
        <v>2</v>
      </c>
      <c r="E700" s="41"/>
      <c r="F700" s="41"/>
    </row>
    <row r="701" s="1" customFormat="1" ht="18.75" spans="1:6">
      <c r="A701" s="41"/>
      <c r="B701" s="42" t="s">
        <v>519</v>
      </c>
      <c r="C701" s="41">
        <v>2</v>
      </c>
      <c r="D701" s="41">
        <v>2</v>
      </c>
      <c r="E701" s="41"/>
      <c r="F701" s="41"/>
    </row>
    <row r="702" s="1" customFormat="1" ht="18.75" spans="1:6">
      <c r="A702" s="41"/>
      <c r="B702" s="63" t="s">
        <v>319</v>
      </c>
      <c r="C702" s="6">
        <v>30</v>
      </c>
      <c r="D702" s="6"/>
      <c r="E702" s="6">
        <v>30</v>
      </c>
      <c r="F702" s="41"/>
    </row>
    <row r="703" s="1" customFormat="1" ht="56.25" spans="1:6">
      <c r="A703" s="41">
        <v>1</v>
      </c>
      <c r="B703" s="42" t="s">
        <v>520</v>
      </c>
      <c r="C703" s="41">
        <v>3</v>
      </c>
      <c r="D703" s="41"/>
      <c r="E703" s="41">
        <v>3</v>
      </c>
      <c r="F703" s="41"/>
    </row>
    <row r="704" s="1" customFormat="1" ht="37.5" spans="1:6">
      <c r="A704" s="41">
        <v>2</v>
      </c>
      <c r="B704" s="42" t="s">
        <v>521</v>
      </c>
      <c r="C704" s="41">
        <v>4</v>
      </c>
      <c r="D704" s="41"/>
      <c r="E704" s="41">
        <v>4</v>
      </c>
      <c r="F704" s="41"/>
    </row>
    <row r="705" s="1" customFormat="1" ht="37.5" spans="1:6">
      <c r="A705" s="41">
        <v>3</v>
      </c>
      <c r="B705" s="42" t="s">
        <v>522</v>
      </c>
      <c r="C705" s="41">
        <v>4</v>
      </c>
      <c r="D705" s="41"/>
      <c r="E705" s="41">
        <v>4</v>
      </c>
      <c r="F705" s="41"/>
    </row>
    <row r="706" s="1" customFormat="1" ht="18.75" spans="1:6">
      <c r="A706" s="41">
        <v>4</v>
      </c>
      <c r="B706" s="42" t="s">
        <v>523</v>
      </c>
      <c r="C706" s="41">
        <v>3</v>
      </c>
      <c r="D706" s="41"/>
      <c r="E706" s="41">
        <v>3</v>
      </c>
      <c r="F706" s="41"/>
    </row>
    <row r="707" s="1" customFormat="1" ht="37.5" spans="1:6">
      <c r="A707" s="41">
        <v>5</v>
      </c>
      <c r="B707" s="42" t="s">
        <v>524</v>
      </c>
      <c r="C707" s="41">
        <v>4</v>
      </c>
      <c r="D707" s="41"/>
      <c r="E707" s="41">
        <v>4</v>
      </c>
      <c r="F707" s="41"/>
    </row>
    <row r="708" s="1" customFormat="1" ht="37.5" spans="1:6">
      <c r="A708" s="41">
        <v>6</v>
      </c>
      <c r="B708" s="42" t="s">
        <v>525</v>
      </c>
      <c r="C708" s="41">
        <v>4</v>
      </c>
      <c r="D708" s="41"/>
      <c r="E708" s="41">
        <v>4</v>
      </c>
      <c r="F708" s="41"/>
    </row>
    <row r="709" s="1" customFormat="1" ht="37.5" spans="1:6">
      <c r="A709" s="41"/>
      <c r="B709" s="42" t="s">
        <v>526</v>
      </c>
      <c r="C709" s="41">
        <v>4</v>
      </c>
      <c r="D709" s="41"/>
      <c r="E709" s="41">
        <v>4</v>
      </c>
      <c r="F709" s="41"/>
    </row>
    <row r="710" s="1" customFormat="1" ht="37.5" spans="1:6">
      <c r="A710" s="41"/>
      <c r="B710" s="42" t="s">
        <v>527</v>
      </c>
      <c r="C710" s="41">
        <v>4</v>
      </c>
      <c r="D710" s="41"/>
      <c r="E710" s="41">
        <v>4</v>
      </c>
      <c r="F710" s="41"/>
    </row>
    <row r="711" s="1" customFormat="1" ht="18.75" spans="1:6">
      <c r="A711" s="6"/>
      <c r="B711" s="42" t="s">
        <v>528</v>
      </c>
      <c r="C711" s="41">
        <v>3</v>
      </c>
      <c r="D711" s="41"/>
      <c r="E711" s="41"/>
      <c r="F711" s="41">
        <v>3</v>
      </c>
    </row>
    <row r="712" s="1" customFormat="1" ht="18.75" spans="1:6">
      <c r="A712" s="6"/>
      <c r="B712" s="6" t="s">
        <v>69</v>
      </c>
      <c r="C712" s="6">
        <f t="shared" ref="C712:F712" si="79">SUM(C678,C702,C711)</f>
        <v>75</v>
      </c>
      <c r="D712" s="6">
        <f t="shared" si="79"/>
        <v>42</v>
      </c>
      <c r="E712" s="6">
        <f t="shared" si="79"/>
        <v>30</v>
      </c>
      <c r="F712" s="6">
        <f t="shared" si="79"/>
        <v>3</v>
      </c>
    </row>
    <row r="713" s="1" customFormat="1" ht="34.95" customHeight="1" spans="1:6">
      <c r="B713" s="40" t="s">
        <v>529</v>
      </c>
      <c r="C713" s="87"/>
      <c r="D713" s="87"/>
      <c r="E713" s="87"/>
      <c r="F713" s="87"/>
    </row>
    <row r="714" s="1" customFormat="1" ht="18.75" spans="1:6">
      <c r="A714" s="2" t="s">
        <v>530</v>
      </c>
      <c r="B714" s="31" t="str">
        <f>VLOOKUP(A714,$A$7:$B$50,2,FALSE)</f>
        <v>Thực vật dược</v>
      </c>
    </row>
    <row r="715" s="1" customFormat="1" ht="18.75" spans="1:6">
      <c r="A715" s="46" t="s">
        <v>79</v>
      </c>
      <c r="B715" s="46" t="s">
        <v>80</v>
      </c>
      <c r="C715" s="46" t="s">
        <v>81</v>
      </c>
      <c r="D715" s="46"/>
      <c r="E715" s="46"/>
      <c r="F715" s="46"/>
    </row>
    <row r="716" s="1" customFormat="1" ht="75" spans="1:6">
      <c r="A716" s="47"/>
      <c r="B716" s="47"/>
      <c r="C716" s="47" t="s">
        <v>7</v>
      </c>
      <c r="D716" s="47" t="s">
        <v>9</v>
      </c>
      <c r="E716" s="47" t="s">
        <v>82</v>
      </c>
      <c r="F716" s="47" t="s">
        <v>11</v>
      </c>
    </row>
    <row r="717" s="1" customFormat="1" ht="18.75" spans="1:6">
      <c r="A717" s="56"/>
      <c r="B717" s="69" t="s">
        <v>308</v>
      </c>
      <c r="C717" s="8">
        <v>42</v>
      </c>
      <c r="D717" s="8">
        <v>42</v>
      </c>
      <c r="E717" s="8"/>
      <c r="F717" s="8"/>
    </row>
    <row r="718" s="1" customFormat="1" ht="18.75" spans="1:6">
      <c r="A718" s="56">
        <v>1</v>
      </c>
      <c r="B718" s="57" t="s">
        <v>531</v>
      </c>
      <c r="C718" s="56">
        <v>1</v>
      </c>
      <c r="D718" s="56">
        <v>1</v>
      </c>
      <c r="E718" s="56"/>
      <c r="F718" s="56"/>
    </row>
    <row r="719" s="1" customFormat="1" ht="18.75" spans="1:6">
      <c r="A719" s="56">
        <v>2</v>
      </c>
      <c r="B719" s="57" t="s">
        <v>532</v>
      </c>
      <c r="C719" s="56">
        <v>8</v>
      </c>
      <c r="D719" s="56">
        <v>8</v>
      </c>
      <c r="E719" s="56"/>
      <c r="F719" s="56"/>
    </row>
    <row r="720" s="1" customFormat="1" ht="18.75" spans="1:6">
      <c r="A720" s="56">
        <v>3</v>
      </c>
      <c r="B720" s="57" t="s">
        <v>533</v>
      </c>
      <c r="C720" s="56">
        <v>5</v>
      </c>
      <c r="D720" s="56">
        <v>5</v>
      </c>
      <c r="E720" s="56"/>
      <c r="F720" s="56"/>
    </row>
    <row r="721" s="1" customFormat="1" ht="18.75" spans="1:6">
      <c r="A721" s="56">
        <v>4</v>
      </c>
      <c r="B721" s="57" t="s">
        <v>534</v>
      </c>
      <c r="C721" s="56">
        <v>8</v>
      </c>
      <c r="D721" s="56">
        <v>8</v>
      </c>
      <c r="E721" s="56"/>
      <c r="F721" s="56"/>
    </row>
    <row r="722" s="1" customFormat="1" ht="18.75" spans="1:6">
      <c r="A722" s="56">
        <v>5</v>
      </c>
      <c r="B722" s="57" t="s">
        <v>535</v>
      </c>
      <c r="C722" s="56">
        <v>8</v>
      </c>
      <c r="D722" s="56">
        <v>8</v>
      </c>
      <c r="E722" s="56"/>
      <c r="F722" s="56"/>
    </row>
    <row r="723" s="1" customFormat="1" ht="18.75" spans="1:6">
      <c r="A723" s="56">
        <v>6</v>
      </c>
      <c r="B723" s="57" t="s">
        <v>536</v>
      </c>
      <c r="C723" s="56">
        <v>12</v>
      </c>
      <c r="D723" s="56">
        <v>12</v>
      </c>
      <c r="E723" s="56"/>
      <c r="F723" s="56"/>
    </row>
    <row r="724" s="1" customFormat="1" ht="18.75" spans="1:6">
      <c r="A724" s="56"/>
      <c r="B724" s="69" t="s">
        <v>319</v>
      </c>
      <c r="C724" s="8">
        <v>45</v>
      </c>
      <c r="D724" s="8"/>
      <c r="E724" s="8">
        <v>45</v>
      </c>
      <c r="F724" s="8"/>
    </row>
    <row r="725" s="1" customFormat="1" ht="37.5" spans="1:6">
      <c r="A725" s="56">
        <v>1</v>
      </c>
      <c r="B725" s="57" t="s">
        <v>537</v>
      </c>
      <c r="C725" s="56"/>
      <c r="D725" s="56"/>
      <c r="E725" s="56">
        <v>3</v>
      </c>
      <c r="F725" s="56"/>
    </row>
    <row r="726" s="1" customFormat="1" ht="37.5" spans="1:6">
      <c r="A726" s="56">
        <v>2</v>
      </c>
      <c r="B726" s="57" t="s">
        <v>538</v>
      </c>
      <c r="C726" s="56"/>
      <c r="D726" s="56"/>
      <c r="E726" s="56">
        <v>3</v>
      </c>
      <c r="F726" s="56"/>
    </row>
    <row r="727" s="1" customFormat="1" ht="56.25" spans="1:6">
      <c r="A727" s="56">
        <v>3</v>
      </c>
      <c r="B727" s="57" t="s">
        <v>539</v>
      </c>
      <c r="C727" s="56"/>
      <c r="D727" s="56"/>
      <c r="E727" s="56">
        <v>3</v>
      </c>
      <c r="F727" s="56"/>
    </row>
    <row r="728" s="1" customFormat="1" ht="37.5" spans="1:6">
      <c r="A728" s="56">
        <v>4</v>
      </c>
      <c r="B728" s="57" t="s">
        <v>540</v>
      </c>
      <c r="C728" s="56"/>
      <c r="D728" s="56"/>
      <c r="E728" s="56">
        <v>4</v>
      </c>
      <c r="F728" s="56"/>
    </row>
    <row r="729" s="1" customFormat="1" ht="18.75" spans="1:6">
      <c r="A729" s="56">
        <v>5</v>
      </c>
      <c r="B729" s="57" t="s">
        <v>541</v>
      </c>
      <c r="C729" s="56"/>
      <c r="D729" s="56"/>
      <c r="E729" s="56">
        <v>4</v>
      </c>
      <c r="F729" s="56"/>
    </row>
    <row r="730" s="1" customFormat="1" ht="18.75" spans="1:6">
      <c r="A730" s="56">
        <v>6</v>
      </c>
      <c r="B730" s="57" t="s">
        <v>542</v>
      </c>
      <c r="C730" s="56"/>
      <c r="D730" s="56"/>
      <c r="E730" s="56">
        <v>4</v>
      </c>
      <c r="F730" s="56"/>
    </row>
    <row r="731" s="1" customFormat="1" ht="18.75" spans="1:6">
      <c r="A731" s="56">
        <v>7</v>
      </c>
      <c r="B731" s="57" t="s">
        <v>543</v>
      </c>
      <c r="C731" s="56"/>
      <c r="D731" s="56"/>
      <c r="E731" s="56">
        <v>4</v>
      </c>
      <c r="F731" s="56"/>
    </row>
    <row r="732" s="1" customFormat="1" ht="18.75" spans="1:6">
      <c r="A732" s="56">
        <v>8</v>
      </c>
      <c r="B732" s="57" t="s">
        <v>544</v>
      </c>
      <c r="C732" s="56"/>
      <c r="D732" s="56"/>
      <c r="E732" s="56">
        <v>4</v>
      </c>
      <c r="F732" s="56"/>
    </row>
    <row r="733" s="1" customFormat="1" ht="18.75" spans="1:6">
      <c r="A733" s="56">
        <v>9</v>
      </c>
      <c r="B733" s="57" t="s">
        <v>545</v>
      </c>
      <c r="C733" s="8"/>
      <c r="D733" s="8"/>
      <c r="E733" s="56">
        <v>4</v>
      </c>
      <c r="F733" s="8"/>
    </row>
    <row r="734" s="1" customFormat="1" ht="37.5" spans="1:6">
      <c r="A734" s="56">
        <v>10</v>
      </c>
      <c r="B734" s="57" t="s">
        <v>546</v>
      </c>
      <c r="C734" s="8"/>
      <c r="D734" s="8"/>
      <c r="E734" s="56">
        <v>12</v>
      </c>
      <c r="F734" s="8"/>
    </row>
    <row r="735" s="1" customFormat="1" ht="18.75" spans="1:6">
      <c r="A735" s="8"/>
      <c r="B735" s="57" t="s">
        <v>494</v>
      </c>
      <c r="C735" s="56">
        <v>3</v>
      </c>
      <c r="D735" s="56"/>
      <c r="E735" s="56"/>
      <c r="F735" s="56">
        <v>3</v>
      </c>
    </row>
    <row r="736" s="1" customFormat="1" ht="18.75" spans="1:6">
      <c r="A736" s="8"/>
      <c r="B736" s="69" t="s">
        <v>69</v>
      </c>
      <c r="C736" s="8">
        <f t="shared" ref="C736:F736" si="80">SUM(C717,C724,C735)</f>
        <v>90</v>
      </c>
      <c r="D736" s="8">
        <f t="shared" si="80"/>
        <v>42</v>
      </c>
      <c r="E736" s="8">
        <f t="shared" si="80"/>
        <v>45</v>
      </c>
      <c r="F736" s="8">
        <f t="shared" si="80"/>
        <v>3</v>
      </c>
    </row>
    <row r="737" s="1" customFormat="1" ht="35.25" customHeight="1" spans="1:6">
      <c r="B737" s="79" t="s">
        <v>547</v>
      </c>
      <c r="C737" s="79"/>
      <c r="D737" s="79"/>
      <c r="E737" s="79"/>
      <c r="F737" s="79"/>
    </row>
    <row r="738" s="1" customFormat="1" ht="18.75" spans="1:6">
      <c r="A738" s="2" t="s">
        <v>548</v>
      </c>
      <c r="B738" s="31" t="str">
        <f>VLOOKUP(A738,$A$7:$B$50,2,FALSE)</f>
        <v>Hóa dược</v>
      </c>
    </row>
    <row r="739" s="1" customFormat="1" ht="18.75" spans="1:6">
      <c r="A739" s="46" t="s">
        <v>79</v>
      </c>
      <c r="B739" s="46" t="s">
        <v>80</v>
      </c>
      <c r="C739" s="46" t="s">
        <v>81</v>
      </c>
      <c r="D739" s="46"/>
      <c r="E739" s="46"/>
      <c r="F739" s="46"/>
    </row>
    <row r="740" s="1" customFormat="1" ht="75" spans="1:6">
      <c r="A740" s="47"/>
      <c r="B740" s="47"/>
      <c r="C740" s="47" t="s">
        <v>7</v>
      </c>
      <c r="D740" s="47" t="s">
        <v>9</v>
      </c>
      <c r="E740" s="47" t="s">
        <v>82</v>
      </c>
      <c r="F740" s="47" t="s">
        <v>11</v>
      </c>
    </row>
    <row r="741" s="1" customFormat="1" ht="18.75" spans="1:6">
      <c r="A741" s="6"/>
      <c r="B741" s="63" t="s">
        <v>308</v>
      </c>
      <c r="C741" s="6">
        <v>44</v>
      </c>
      <c r="D741" s="6">
        <v>42</v>
      </c>
      <c r="E741" s="6"/>
      <c r="F741" s="6">
        <v>2</v>
      </c>
    </row>
    <row r="742" s="1" customFormat="1" ht="37.5" spans="1:6">
      <c r="A742" s="41">
        <v>1</v>
      </c>
      <c r="B742" s="42" t="s">
        <v>549</v>
      </c>
      <c r="C742" s="41">
        <v>5</v>
      </c>
      <c r="D742" s="41">
        <v>5</v>
      </c>
      <c r="E742" s="41"/>
      <c r="F742" s="41"/>
    </row>
    <row r="743" s="1" customFormat="1" ht="18.75" spans="1:6">
      <c r="A743" s="41"/>
      <c r="B743" s="42" t="s">
        <v>550</v>
      </c>
      <c r="C743" s="41"/>
      <c r="D743" s="41"/>
      <c r="E743" s="41"/>
      <c r="F743" s="41"/>
    </row>
    <row r="744" s="1" customFormat="1" ht="18.75" spans="1:6">
      <c r="A744" s="41"/>
      <c r="B744" s="42" t="s">
        <v>551</v>
      </c>
      <c r="C744" s="41"/>
      <c r="D744" s="41"/>
      <c r="E744" s="41"/>
      <c r="F744" s="41"/>
    </row>
    <row r="745" s="1" customFormat="1" ht="37.5" spans="1:6">
      <c r="A745" s="41"/>
      <c r="B745" s="42" t="s">
        <v>552</v>
      </c>
      <c r="C745" s="41"/>
      <c r="D745" s="41"/>
      <c r="E745" s="41"/>
      <c r="F745" s="41"/>
    </row>
    <row r="746" s="1" customFormat="1" ht="18.75" spans="1:6">
      <c r="A746" s="41"/>
      <c r="B746" s="42" t="s">
        <v>553</v>
      </c>
      <c r="C746" s="41"/>
      <c r="D746" s="41"/>
      <c r="E746" s="41"/>
      <c r="F746" s="41"/>
    </row>
    <row r="747" s="1" customFormat="1" ht="37.5" spans="1:6">
      <c r="A747" s="41">
        <v>2</v>
      </c>
      <c r="B747" s="42" t="s">
        <v>554</v>
      </c>
      <c r="C747" s="41">
        <v>4</v>
      </c>
      <c r="D747" s="41">
        <v>4</v>
      </c>
      <c r="E747" s="41"/>
      <c r="F747" s="41"/>
    </row>
    <row r="748" s="1" customFormat="1" ht="18.75" spans="1:6">
      <c r="A748" s="41"/>
      <c r="B748" s="42" t="s">
        <v>555</v>
      </c>
      <c r="C748" s="41"/>
      <c r="D748" s="41"/>
      <c r="E748" s="41"/>
      <c r="F748" s="41"/>
    </row>
    <row r="749" s="1" customFormat="1" ht="37.5" spans="1:6">
      <c r="A749" s="41"/>
      <c r="B749" s="42" t="s">
        <v>556</v>
      </c>
      <c r="C749" s="41"/>
      <c r="D749" s="41"/>
      <c r="E749" s="41"/>
      <c r="F749" s="41"/>
    </row>
    <row r="750" s="1" customFormat="1" ht="37.5" spans="1:6">
      <c r="A750" s="41">
        <v>3</v>
      </c>
      <c r="B750" s="42" t="s">
        <v>557</v>
      </c>
      <c r="C750" s="41">
        <v>2</v>
      </c>
      <c r="D750" s="41">
        <v>2</v>
      </c>
      <c r="E750" s="41"/>
      <c r="F750" s="41"/>
    </row>
    <row r="751" s="1" customFormat="1" ht="18.75" spans="1:6">
      <c r="A751" s="41"/>
      <c r="B751" s="42" t="s">
        <v>558</v>
      </c>
      <c r="C751" s="41"/>
      <c r="D751" s="41"/>
      <c r="E751" s="41"/>
      <c r="F751" s="41"/>
    </row>
    <row r="752" s="1" customFormat="1" ht="18.75" spans="1:6">
      <c r="A752" s="41"/>
      <c r="B752" s="42" t="s">
        <v>559</v>
      </c>
      <c r="C752" s="41"/>
      <c r="D752" s="41"/>
      <c r="E752" s="41"/>
      <c r="F752" s="41"/>
    </row>
    <row r="753" s="1" customFormat="1" ht="37.5" spans="1:6">
      <c r="A753" s="41">
        <v>4</v>
      </c>
      <c r="B753" s="42" t="s">
        <v>560</v>
      </c>
      <c r="C753" s="41">
        <v>3</v>
      </c>
      <c r="D753" s="41">
        <v>3</v>
      </c>
      <c r="E753" s="41"/>
      <c r="F753" s="41"/>
    </row>
    <row r="754" s="1" customFormat="1" ht="18.75" spans="1:6">
      <c r="A754" s="41"/>
      <c r="B754" s="42" t="s">
        <v>561</v>
      </c>
      <c r="C754" s="41"/>
      <c r="D754" s="41"/>
      <c r="E754" s="41"/>
      <c r="F754" s="41"/>
    </row>
    <row r="755" s="1" customFormat="1" ht="18.75" spans="1:6">
      <c r="A755" s="41"/>
      <c r="B755" s="42" t="s">
        <v>562</v>
      </c>
      <c r="C755" s="41"/>
      <c r="D755" s="41"/>
      <c r="E755" s="41"/>
      <c r="F755" s="41"/>
    </row>
    <row r="756" s="1" customFormat="1" ht="37.5" spans="1:6">
      <c r="A756" s="41">
        <v>5</v>
      </c>
      <c r="B756" s="42" t="s">
        <v>563</v>
      </c>
      <c r="C756" s="41">
        <v>2</v>
      </c>
      <c r="D756" s="41">
        <v>2</v>
      </c>
      <c r="E756" s="41"/>
      <c r="F756" s="41"/>
    </row>
    <row r="757" s="1" customFormat="1" ht="18.75" spans="1:6">
      <c r="A757" s="41"/>
      <c r="B757" s="42" t="s">
        <v>564</v>
      </c>
      <c r="C757" s="41"/>
      <c r="D757" s="41"/>
      <c r="E757" s="41"/>
      <c r="F757" s="41"/>
    </row>
    <row r="758" s="1" customFormat="1" ht="18.75" spans="1:6">
      <c r="A758" s="41"/>
      <c r="B758" s="42" t="s">
        <v>565</v>
      </c>
      <c r="C758" s="41"/>
      <c r="D758" s="41"/>
      <c r="E758" s="41"/>
      <c r="F758" s="41"/>
    </row>
    <row r="759" s="1" customFormat="1" ht="37.5" spans="1:6">
      <c r="A759" s="41">
        <v>6</v>
      </c>
      <c r="B759" s="42" t="s">
        <v>566</v>
      </c>
      <c r="C759" s="41">
        <v>4</v>
      </c>
      <c r="D759" s="41">
        <v>4</v>
      </c>
      <c r="E759" s="41"/>
      <c r="F759" s="41"/>
    </row>
    <row r="760" s="1" customFormat="1" ht="18.75" spans="1:6">
      <c r="A760" s="41"/>
      <c r="B760" s="42" t="s">
        <v>567</v>
      </c>
      <c r="C760" s="41"/>
      <c r="D760" s="41"/>
      <c r="E760" s="41"/>
      <c r="F760" s="41"/>
    </row>
    <row r="761" s="1" customFormat="1" ht="18.75" spans="1:6">
      <c r="A761" s="41"/>
      <c r="B761" s="42" t="s">
        <v>568</v>
      </c>
      <c r="C761" s="41"/>
      <c r="D761" s="41"/>
      <c r="E761" s="41"/>
      <c r="F761" s="41"/>
    </row>
    <row r="762" s="1" customFormat="1" ht="18.75" spans="1:6">
      <c r="A762" s="41"/>
      <c r="B762" s="42" t="s">
        <v>569</v>
      </c>
      <c r="C762" s="41"/>
      <c r="D762" s="41"/>
      <c r="E762" s="41"/>
      <c r="F762" s="41"/>
    </row>
    <row r="763" s="1" customFormat="1" ht="18.75" spans="1:6">
      <c r="A763" s="41"/>
      <c r="B763" s="42" t="s">
        <v>570</v>
      </c>
      <c r="C763" s="41"/>
      <c r="D763" s="41"/>
      <c r="E763" s="41"/>
      <c r="F763" s="41"/>
    </row>
    <row r="764" s="1" customFormat="1" ht="37.5" spans="1:6">
      <c r="A764" s="41">
        <v>7</v>
      </c>
      <c r="B764" s="42" t="s">
        <v>571</v>
      </c>
      <c r="C764" s="41">
        <v>5</v>
      </c>
      <c r="D764" s="41">
        <v>5</v>
      </c>
      <c r="E764" s="41"/>
      <c r="F764" s="41"/>
    </row>
    <row r="765" s="1" customFormat="1" ht="18.75" spans="1:6">
      <c r="A765" s="41"/>
      <c r="B765" s="42" t="s">
        <v>572</v>
      </c>
      <c r="C765" s="41"/>
      <c r="D765" s="41"/>
      <c r="E765" s="41"/>
      <c r="F765" s="41"/>
    </row>
    <row r="766" s="1" customFormat="1" ht="18.75" spans="1:6">
      <c r="A766" s="41"/>
      <c r="B766" s="42" t="s">
        <v>573</v>
      </c>
      <c r="C766" s="41"/>
      <c r="D766" s="41"/>
      <c r="E766" s="41"/>
      <c r="F766" s="41"/>
    </row>
    <row r="767" s="1" customFormat="1" ht="18.75" spans="1:6">
      <c r="A767" s="41"/>
      <c r="B767" s="42" t="s">
        <v>574</v>
      </c>
      <c r="C767" s="41"/>
      <c r="D767" s="41"/>
      <c r="E767" s="41"/>
      <c r="F767" s="41"/>
    </row>
    <row r="768" s="1" customFormat="1" ht="18.75" spans="1:6">
      <c r="A768" s="41"/>
      <c r="B768" s="42" t="s">
        <v>575</v>
      </c>
      <c r="C768" s="41"/>
      <c r="D768" s="41"/>
      <c r="E768" s="41"/>
      <c r="F768" s="41"/>
    </row>
    <row r="769" s="1" customFormat="1" ht="18.75" spans="1:6">
      <c r="A769" s="41"/>
      <c r="B769" s="42" t="s">
        <v>576</v>
      </c>
      <c r="C769" s="41"/>
      <c r="D769" s="41"/>
      <c r="E769" s="41"/>
      <c r="F769" s="41"/>
    </row>
    <row r="770" s="1" customFormat="1" ht="18.75" spans="1:6">
      <c r="A770" s="41"/>
      <c r="B770" s="42" t="s">
        <v>577</v>
      </c>
      <c r="C770" s="41"/>
      <c r="D770" s="41"/>
      <c r="E770" s="41"/>
      <c r="F770" s="41"/>
    </row>
    <row r="771" s="1" customFormat="1" ht="18.75" spans="1:6">
      <c r="A771" s="41"/>
      <c r="B771" s="42" t="s">
        <v>578</v>
      </c>
      <c r="C771" s="41"/>
      <c r="D771" s="41"/>
      <c r="E771" s="41"/>
      <c r="F771" s="41"/>
    </row>
    <row r="772" s="1" customFormat="1" ht="18.75" spans="1:6">
      <c r="A772" s="41"/>
      <c r="B772" s="42" t="s">
        <v>579</v>
      </c>
      <c r="C772" s="41"/>
      <c r="D772" s="41"/>
      <c r="E772" s="41"/>
      <c r="F772" s="41"/>
    </row>
    <row r="773" s="1" customFormat="1" ht="18.75" spans="1:6">
      <c r="A773" s="41"/>
      <c r="B773" s="42" t="s">
        <v>580</v>
      </c>
      <c r="C773" s="41"/>
      <c r="D773" s="41"/>
      <c r="E773" s="41"/>
      <c r="F773" s="41"/>
    </row>
    <row r="774" s="1" customFormat="1" ht="37.5" spans="1:6">
      <c r="A774" s="41">
        <v>8</v>
      </c>
      <c r="B774" s="42" t="s">
        <v>581</v>
      </c>
      <c r="C774" s="41">
        <v>3</v>
      </c>
      <c r="D774" s="41">
        <v>3</v>
      </c>
      <c r="E774" s="41"/>
      <c r="F774" s="41"/>
    </row>
    <row r="775" s="1" customFormat="1" ht="18.75" spans="1:6">
      <c r="A775" s="41"/>
      <c r="B775" s="42" t="s">
        <v>582</v>
      </c>
      <c r="C775" s="41"/>
      <c r="D775" s="41"/>
      <c r="E775" s="41"/>
      <c r="F775" s="41"/>
    </row>
    <row r="776" s="1" customFormat="1" ht="18.75" spans="1:6">
      <c r="A776" s="41"/>
      <c r="B776" s="42" t="s">
        <v>583</v>
      </c>
      <c r="C776" s="41"/>
      <c r="D776" s="41"/>
      <c r="E776" s="41"/>
      <c r="F776" s="41"/>
    </row>
    <row r="777" s="1" customFormat="1" ht="18.75" spans="1:6">
      <c r="A777" s="41"/>
      <c r="B777" s="42" t="s">
        <v>584</v>
      </c>
      <c r="C777" s="41"/>
      <c r="D777" s="41"/>
      <c r="E777" s="41"/>
      <c r="F777" s="41"/>
    </row>
    <row r="778" s="1" customFormat="1" ht="18.75" spans="1:6">
      <c r="A778" s="41"/>
      <c r="B778" s="42" t="s">
        <v>585</v>
      </c>
      <c r="C778" s="41"/>
      <c r="D778" s="41"/>
      <c r="E778" s="41"/>
      <c r="F778" s="41"/>
    </row>
    <row r="779" s="1" customFormat="1" ht="18.75" spans="1:6">
      <c r="A779" s="41">
        <v>9</v>
      </c>
      <c r="B779" s="42" t="s">
        <v>586</v>
      </c>
      <c r="C779" s="41">
        <v>4</v>
      </c>
      <c r="D779" s="41">
        <v>4</v>
      </c>
      <c r="E779" s="41"/>
      <c r="F779" s="41"/>
    </row>
    <row r="780" s="1" customFormat="1" ht="18.75" spans="1:6">
      <c r="A780" s="41"/>
      <c r="B780" s="42" t="s">
        <v>587</v>
      </c>
      <c r="C780" s="41"/>
      <c r="D780" s="41"/>
      <c r="E780" s="41"/>
      <c r="F780" s="41"/>
    </row>
    <row r="781" s="1" customFormat="1" ht="18.75" spans="1:6">
      <c r="A781" s="41"/>
      <c r="B781" s="42" t="s">
        <v>588</v>
      </c>
      <c r="C781" s="41"/>
      <c r="D781" s="41"/>
      <c r="E781" s="41"/>
      <c r="F781" s="41"/>
    </row>
    <row r="782" s="1" customFormat="1" ht="18.75" spans="1:6">
      <c r="A782" s="41"/>
      <c r="B782" s="42" t="s">
        <v>589</v>
      </c>
      <c r="C782" s="41"/>
      <c r="D782" s="41"/>
      <c r="E782" s="41"/>
      <c r="F782" s="41"/>
    </row>
    <row r="783" s="1" customFormat="1" ht="18.75" spans="1:6">
      <c r="A783" s="41"/>
      <c r="B783" s="42" t="s">
        <v>590</v>
      </c>
      <c r="C783" s="41"/>
      <c r="D783" s="41"/>
      <c r="E783" s="41"/>
      <c r="F783" s="41"/>
    </row>
    <row r="784" s="1" customFormat="1" ht="18.75" spans="1:6">
      <c r="A784" s="41"/>
      <c r="B784" s="42" t="s">
        <v>591</v>
      </c>
      <c r="C784" s="41"/>
      <c r="D784" s="41"/>
      <c r="E784" s="41"/>
      <c r="F784" s="41"/>
    </row>
    <row r="785" s="1" customFormat="1" ht="37.5" spans="1:6">
      <c r="A785" s="41">
        <v>10</v>
      </c>
      <c r="B785" s="42" t="s">
        <v>592</v>
      </c>
      <c r="C785" s="41">
        <v>3</v>
      </c>
      <c r="D785" s="41">
        <v>3</v>
      </c>
      <c r="E785" s="41"/>
      <c r="F785" s="41"/>
    </row>
    <row r="786" s="1" customFormat="1" ht="18.75" spans="1:6">
      <c r="A786" s="41"/>
      <c r="B786" s="42" t="s">
        <v>593</v>
      </c>
      <c r="C786" s="41"/>
      <c r="D786" s="41"/>
      <c r="E786" s="41"/>
      <c r="F786" s="41"/>
    </row>
    <row r="787" s="1" customFormat="1" ht="18.75" spans="1:6">
      <c r="A787" s="41"/>
      <c r="B787" s="42" t="s">
        <v>594</v>
      </c>
      <c r="C787" s="41"/>
      <c r="D787" s="41"/>
      <c r="E787" s="41"/>
      <c r="F787" s="41"/>
    </row>
    <row r="788" s="1" customFormat="1" ht="18.75" spans="1:6">
      <c r="A788" s="41"/>
      <c r="B788" s="42" t="s">
        <v>595</v>
      </c>
      <c r="C788" s="41"/>
      <c r="D788" s="41"/>
      <c r="E788" s="41"/>
      <c r="F788" s="41"/>
    </row>
    <row r="789" s="1" customFormat="1" ht="18.75" spans="1:6">
      <c r="A789" s="41"/>
      <c r="B789" s="42" t="s">
        <v>596</v>
      </c>
      <c r="C789" s="41"/>
      <c r="D789" s="41"/>
      <c r="E789" s="41"/>
      <c r="F789" s="41"/>
    </row>
    <row r="790" s="1" customFormat="1" ht="37.5" spans="1:6">
      <c r="A790" s="41"/>
      <c r="B790" s="42" t="s">
        <v>597</v>
      </c>
      <c r="C790" s="41"/>
      <c r="D790" s="41"/>
      <c r="E790" s="41"/>
      <c r="F790" s="41"/>
    </row>
    <row r="791" s="1" customFormat="1" ht="37.5" spans="1:6">
      <c r="A791" s="41"/>
      <c r="B791" s="42" t="s">
        <v>598</v>
      </c>
      <c r="C791" s="41"/>
      <c r="D791" s="41"/>
      <c r="E791" s="41"/>
      <c r="F791" s="41"/>
    </row>
    <row r="792" s="1" customFormat="1" ht="18.75" spans="1:6">
      <c r="A792" s="41">
        <v>11</v>
      </c>
      <c r="B792" s="42" t="s">
        <v>599</v>
      </c>
      <c r="C792" s="41">
        <v>2</v>
      </c>
      <c r="D792" s="41">
        <v>2</v>
      </c>
      <c r="E792" s="41"/>
      <c r="F792" s="41"/>
    </row>
    <row r="793" s="1" customFormat="1" ht="18.75" spans="1:6">
      <c r="A793" s="41"/>
      <c r="B793" s="42" t="s">
        <v>600</v>
      </c>
      <c r="C793" s="41"/>
      <c r="D793" s="41"/>
      <c r="E793" s="41"/>
      <c r="F793" s="41"/>
    </row>
    <row r="794" s="1" customFormat="1" ht="18.75" spans="1:6">
      <c r="A794" s="41"/>
      <c r="B794" s="42" t="s">
        <v>601</v>
      </c>
      <c r="C794" s="41"/>
      <c r="D794" s="41"/>
      <c r="E794" s="41"/>
      <c r="F794" s="41"/>
    </row>
    <row r="795" s="1" customFormat="1" ht="18.75" spans="1:6">
      <c r="A795" s="41"/>
      <c r="B795" s="42" t="s">
        <v>602</v>
      </c>
      <c r="C795" s="41"/>
      <c r="D795" s="41"/>
      <c r="E795" s="41"/>
      <c r="F795" s="41"/>
    </row>
    <row r="796" s="1" customFormat="1" ht="37.5" spans="1:6">
      <c r="A796" s="41">
        <v>12</v>
      </c>
      <c r="B796" s="42" t="s">
        <v>603</v>
      </c>
      <c r="C796" s="41">
        <v>2</v>
      </c>
      <c r="D796" s="41">
        <v>2</v>
      </c>
      <c r="E796" s="41"/>
      <c r="F796" s="41"/>
    </row>
    <row r="797" s="1" customFormat="1" ht="18.75" spans="1:6">
      <c r="A797" s="41"/>
      <c r="B797" s="42" t="s">
        <v>604</v>
      </c>
      <c r="C797" s="41"/>
      <c r="D797" s="41"/>
      <c r="E797" s="41"/>
      <c r="F797" s="41"/>
    </row>
    <row r="798" s="1" customFormat="1" ht="18.75" spans="1:6">
      <c r="A798" s="41"/>
      <c r="B798" s="42" t="s">
        <v>605</v>
      </c>
      <c r="C798" s="41"/>
      <c r="D798" s="41"/>
      <c r="E798" s="41"/>
      <c r="F798" s="41"/>
    </row>
    <row r="799" s="1" customFormat="1" ht="37.5" spans="1:6">
      <c r="A799" s="41"/>
      <c r="B799" s="42" t="s">
        <v>606</v>
      </c>
      <c r="C799" s="41"/>
      <c r="D799" s="41"/>
      <c r="E799" s="41"/>
      <c r="F799" s="41"/>
    </row>
    <row r="800" s="1" customFormat="1" ht="18.75" spans="1:6">
      <c r="A800" s="41">
        <v>13</v>
      </c>
      <c r="B800" s="42" t="s">
        <v>607</v>
      </c>
      <c r="C800" s="41">
        <v>2</v>
      </c>
      <c r="D800" s="41">
        <v>2</v>
      </c>
      <c r="E800" s="41"/>
      <c r="F800" s="41"/>
    </row>
    <row r="801" s="1" customFormat="1" ht="18.75" spans="1:6">
      <c r="A801" s="41"/>
      <c r="B801" s="42" t="s">
        <v>608</v>
      </c>
      <c r="C801" s="41"/>
      <c r="D801" s="41"/>
      <c r="E801" s="41"/>
      <c r="F801" s="41"/>
    </row>
    <row r="802" s="1" customFormat="1" ht="18.75" spans="1:6">
      <c r="A802" s="41"/>
      <c r="B802" s="42" t="s">
        <v>609</v>
      </c>
      <c r="C802" s="41"/>
      <c r="D802" s="41"/>
      <c r="E802" s="41"/>
      <c r="F802" s="41"/>
    </row>
    <row r="803" s="1" customFormat="1" ht="18.75" spans="1:6">
      <c r="A803" s="6"/>
      <c r="B803" s="63" t="s">
        <v>319</v>
      </c>
      <c r="C803" s="6">
        <v>31</v>
      </c>
      <c r="D803" s="6"/>
      <c r="E803" s="6">
        <v>30</v>
      </c>
      <c r="F803" s="6">
        <v>1</v>
      </c>
    </row>
    <row r="804" s="1" customFormat="1" ht="37.5" spans="1:6">
      <c r="A804" s="41">
        <v>1</v>
      </c>
      <c r="B804" s="42" t="s">
        <v>610</v>
      </c>
      <c r="C804" s="41">
        <v>3</v>
      </c>
      <c r="D804" s="41"/>
      <c r="E804" s="41">
        <v>3</v>
      </c>
      <c r="F804" s="41"/>
    </row>
    <row r="805" s="1" customFormat="1" ht="56.25" spans="1:6">
      <c r="A805" s="41">
        <v>2</v>
      </c>
      <c r="B805" s="42" t="s">
        <v>611</v>
      </c>
      <c r="C805" s="41">
        <v>3</v>
      </c>
      <c r="D805" s="41"/>
      <c r="E805" s="41">
        <v>3</v>
      </c>
      <c r="F805" s="41"/>
    </row>
    <row r="806" s="1" customFormat="1" ht="37.5" spans="1:6">
      <c r="A806" s="41">
        <v>3</v>
      </c>
      <c r="B806" s="42" t="s">
        <v>612</v>
      </c>
      <c r="C806" s="41">
        <v>4</v>
      </c>
      <c r="D806" s="41"/>
      <c r="E806" s="41">
        <v>4</v>
      </c>
      <c r="F806" s="41"/>
    </row>
    <row r="807" s="1" customFormat="1" ht="37.5" spans="1:6">
      <c r="A807" s="41">
        <v>4</v>
      </c>
      <c r="B807" s="42" t="s">
        <v>613</v>
      </c>
      <c r="C807" s="41">
        <v>4</v>
      </c>
      <c r="D807" s="41"/>
      <c r="E807" s="41">
        <v>4</v>
      </c>
      <c r="F807" s="41"/>
    </row>
    <row r="808" s="1" customFormat="1" ht="37.5" spans="1:6">
      <c r="A808" s="41">
        <v>5</v>
      </c>
      <c r="B808" s="42" t="s">
        <v>614</v>
      </c>
      <c r="C808" s="41">
        <v>4</v>
      </c>
      <c r="D808" s="41"/>
      <c r="E808" s="41">
        <v>4</v>
      </c>
      <c r="F808" s="41"/>
    </row>
    <row r="809" s="1" customFormat="1" ht="37.5" spans="1:6">
      <c r="A809" s="41">
        <v>6</v>
      </c>
      <c r="B809" s="42" t="s">
        <v>615</v>
      </c>
      <c r="C809" s="41">
        <v>4</v>
      </c>
      <c r="D809" s="41"/>
      <c r="E809" s="41">
        <v>4</v>
      </c>
      <c r="F809" s="41"/>
    </row>
    <row r="810" s="1" customFormat="1" ht="37.5" spans="1:6">
      <c r="A810" s="41">
        <v>7</v>
      </c>
      <c r="B810" s="42" t="s">
        <v>616</v>
      </c>
      <c r="C810" s="41">
        <v>4</v>
      </c>
      <c r="D810" s="41"/>
      <c r="E810" s="41">
        <v>4</v>
      </c>
      <c r="F810" s="41"/>
    </row>
    <row r="811" s="1" customFormat="1" ht="56.25" spans="1:6">
      <c r="A811" s="41">
        <v>8</v>
      </c>
      <c r="B811" s="42" t="s">
        <v>617</v>
      </c>
      <c r="C811" s="41">
        <v>4</v>
      </c>
      <c r="D811" s="41"/>
      <c r="E811" s="41">
        <v>4</v>
      </c>
      <c r="F811" s="41"/>
    </row>
    <row r="812" s="1" customFormat="1" ht="18.75" spans="1:6">
      <c r="A812" s="6"/>
      <c r="B812" s="6" t="s">
        <v>69</v>
      </c>
      <c r="C812" s="6">
        <f t="shared" ref="C812:F812" si="81">SUM(C741,C803)</f>
        <v>75</v>
      </c>
      <c r="D812" s="6">
        <f t="shared" si="81"/>
        <v>42</v>
      </c>
      <c r="E812" s="6">
        <f t="shared" si="81"/>
        <v>30</v>
      </c>
      <c r="F812" s="6">
        <f t="shared" si="81"/>
        <v>3</v>
      </c>
    </row>
    <row r="813" s="1" customFormat="1" ht="33.45" customHeight="1" spans="1:6">
      <c r="B813" s="40" t="s">
        <v>529</v>
      </c>
      <c r="C813" s="87"/>
      <c r="D813" s="87"/>
      <c r="E813" s="87"/>
      <c r="F813" s="87"/>
    </row>
    <row r="814" s="1" customFormat="1" ht="18.75" spans="1:6">
      <c r="A814" s="2" t="s">
        <v>618</v>
      </c>
      <c r="B814" s="31" t="str">
        <f>VLOOKUP(A814,$A$7:$B$50,2,FALSE)</f>
        <v>Dược lý</v>
      </c>
    </row>
    <row r="815" s="1" customFormat="1" ht="18.75" spans="1:6">
      <c r="A815" s="46" t="s">
        <v>79</v>
      </c>
      <c r="B815" s="46" t="s">
        <v>80</v>
      </c>
      <c r="C815" s="46" t="s">
        <v>81</v>
      </c>
      <c r="D815" s="46"/>
      <c r="E815" s="46"/>
      <c r="F815" s="46"/>
    </row>
    <row r="816" s="1" customFormat="1" ht="75" spans="1:6">
      <c r="A816" s="47"/>
      <c r="B816" s="47"/>
      <c r="C816" s="47" t="s">
        <v>7</v>
      </c>
      <c r="D816" s="47" t="s">
        <v>9</v>
      </c>
      <c r="E816" s="47" t="s">
        <v>82</v>
      </c>
      <c r="F816" s="47" t="s">
        <v>11</v>
      </c>
    </row>
    <row r="817" s="1" customFormat="1" ht="18.75" spans="1:6">
      <c r="A817" s="6"/>
      <c r="B817" s="63" t="s">
        <v>308</v>
      </c>
      <c r="C817" s="6">
        <v>73</v>
      </c>
      <c r="D817" s="6">
        <v>70</v>
      </c>
      <c r="E817" s="6"/>
      <c r="F817" s="6">
        <v>3</v>
      </c>
    </row>
    <row r="818" s="1" customFormat="1" ht="18.75" spans="1:6">
      <c r="A818" s="41">
        <v>1</v>
      </c>
      <c r="B818" s="42" t="s">
        <v>619</v>
      </c>
      <c r="C818" s="41">
        <v>6</v>
      </c>
      <c r="D818" s="41">
        <v>6</v>
      </c>
      <c r="E818" s="6"/>
      <c r="F818" s="6"/>
    </row>
    <row r="819" s="1" customFormat="1" ht="18.75" spans="1:6">
      <c r="A819" s="41"/>
      <c r="B819" s="42" t="s">
        <v>620</v>
      </c>
      <c r="C819" s="41"/>
      <c r="D819" s="41"/>
      <c r="E819" s="6"/>
      <c r="F819" s="6"/>
    </row>
    <row r="820" s="1" customFormat="1" ht="18.75" spans="1:6">
      <c r="A820" s="41"/>
      <c r="B820" s="42" t="s">
        <v>621</v>
      </c>
      <c r="C820" s="41"/>
      <c r="D820" s="41"/>
      <c r="E820" s="6"/>
      <c r="F820" s="6"/>
    </row>
    <row r="821" s="1" customFormat="1" ht="18.75" spans="1:6">
      <c r="A821" s="41"/>
      <c r="B821" s="42" t="s">
        <v>622</v>
      </c>
      <c r="C821" s="41"/>
      <c r="D821" s="41"/>
      <c r="E821" s="6"/>
      <c r="F821" s="6"/>
    </row>
    <row r="822" s="1" customFormat="1" ht="18.75" spans="1:6">
      <c r="A822" s="41">
        <v>2</v>
      </c>
      <c r="B822" s="42" t="s">
        <v>623</v>
      </c>
      <c r="C822" s="41">
        <v>7</v>
      </c>
      <c r="D822" s="41">
        <v>7</v>
      </c>
      <c r="E822" s="6"/>
      <c r="F822" s="6"/>
    </row>
    <row r="823" s="1" customFormat="1" ht="18.75" spans="1:6">
      <c r="A823" s="41"/>
      <c r="B823" s="42" t="s">
        <v>624</v>
      </c>
      <c r="C823" s="41"/>
      <c r="D823" s="41"/>
      <c r="E823" s="6"/>
      <c r="F823" s="6"/>
    </row>
    <row r="824" s="1" customFormat="1" ht="18.75" spans="1:6">
      <c r="A824" s="41"/>
      <c r="B824" s="42" t="s">
        <v>625</v>
      </c>
      <c r="C824" s="41"/>
      <c r="D824" s="41"/>
      <c r="E824" s="6"/>
      <c r="F824" s="6"/>
    </row>
    <row r="825" s="1" customFormat="1" ht="37.5" spans="1:6">
      <c r="A825" s="41"/>
      <c r="B825" s="42" t="s">
        <v>626</v>
      </c>
      <c r="C825" s="41"/>
      <c r="D825" s="41"/>
      <c r="E825" s="6"/>
      <c r="F825" s="6"/>
    </row>
    <row r="826" s="1" customFormat="1" ht="37.5" spans="1:6">
      <c r="A826" s="41">
        <v>3</v>
      </c>
      <c r="B826" s="42" t="s">
        <v>627</v>
      </c>
      <c r="C826" s="41">
        <v>4</v>
      </c>
      <c r="D826" s="41">
        <v>4</v>
      </c>
      <c r="E826" s="6"/>
      <c r="F826" s="6"/>
    </row>
    <row r="827" s="1" customFormat="1" ht="18.75" spans="1:6">
      <c r="A827" s="41"/>
      <c r="B827" s="42" t="s">
        <v>628</v>
      </c>
      <c r="C827" s="41"/>
      <c r="D827" s="41"/>
      <c r="E827" s="6"/>
      <c r="F827" s="6"/>
    </row>
    <row r="828" s="1" customFormat="1" ht="18.75" spans="1:6">
      <c r="A828" s="41"/>
      <c r="B828" s="42" t="s">
        <v>629</v>
      </c>
      <c r="C828" s="41"/>
      <c r="D828" s="41"/>
      <c r="E828" s="6"/>
      <c r="F828" s="6"/>
    </row>
    <row r="829" s="1" customFormat="1" ht="56.25" spans="1:6">
      <c r="A829" s="41"/>
      <c r="B829" s="42" t="s">
        <v>630</v>
      </c>
      <c r="C829" s="41"/>
      <c r="D829" s="41"/>
      <c r="E829" s="6"/>
      <c r="F829" s="6"/>
    </row>
    <row r="830" s="1" customFormat="1" ht="37.5" spans="1:6">
      <c r="A830" s="41">
        <v>4</v>
      </c>
      <c r="B830" s="42" t="s">
        <v>631</v>
      </c>
      <c r="C830" s="41">
        <v>4</v>
      </c>
      <c r="D830" s="41">
        <v>4</v>
      </c>
      <c r="E830" s="6"/>
      <c r="F830" s="6"/>
    </row>
    <row r="831" s="1" customFormat="1" ht="37.5" spans="1:6">
      <c r="A831" s="41"/>
      <c r="B831" s="42" t="s">
        <v>632</v>
      </c>
      <c r="C831" s="41"/>
      <c r="D831" s="41"/>
      <c r="E831" s="6"/>
      <c r="F831" s="6"/>
    </row>
    <row r="832" s="1" customFormat="1" ht="37.5" spans="1:6">
      <c r="A832" s="41"/>
      <c r="B832" s="42" t="s">
        <v>633</v>
      </c>
      <c r="C832" s="41"/>
      <c r="D832" s="41"/>
      <c r="E832" s="6"/>
      <c r="F832" s="6"/>
    </row>
    <row r="833" s="1" customFormat="1" ht="56.25" spans="1:6">
      <c r="A833" s="41"/>
      <c r="B833" s="42" t="s">
        <v>634</v>
      </c>
      <c r="C833" s="41"/>
      <c r="D833" s="41"/>
      <c r="E833" s="6"/>
      <c r="F833" s="6"/>
    </row>
    <row r="834" s="1" customFormat="1" ht="37.5" spans="1:6">
      <c r="A834" s="41">
        <v>5</v>
      </c>
      <c r="B834" s="42" t="s">
        <v>635</v>
      </c>
      <c r="C834" s="41">
        <v>8</v>
      </c>
      <c r="D834" s="41">
        <v>8</v>
      </c>
      <c r="E834" s="41"/>
      <c r="F834" s="41"/>
    </row>
    <row r="835" s="1" customFormat="1" ht="18.75" spans="1:6">
      <c r="A835" s="41"/>
      <c r="B835" s="42" t="s">
        <v>636</v>
      </c>
      <c r="C835" s="41"/>
      <c r="D835" s="41"/>
      <c r="E835" s="41"/>
      <c r="F835" s="41"/>
    </row>
    <row r="836" s="1" customFormat="1" ht="18.75" spans="1:6">
      <c r="A836" s="41"/>
      <c r="B836" s="42" t="s">
        <v>637</v>
      </c>
      <c r="C836" s="41"/>
      <c r="D836" s="41"/>
      <c r="E836" s="41"/>
      <c r="F836" s="41"/>
    </row>
    <row r="837" s="1" customFormat="1" ht="37.5" spans="1:6">
      <c r="A837" s="41"/>
      <c r="B837" s="42" t="s">
        <v>638</v>
      </c>
      <c r="C837" s="41"/>
      <c r="D837" s="41"/>
      <c r="E837" s="41"/>
      <c r="F837" s="41"/>
    </row>
    <row r="838" s="1" customFormat="1" ht="18.75" spans="1:6">
      <c r="A838" s="41"/>
      <c r="B838" s="42" t="s">
        <v>639</v>
      </c>
      <c r="C838" s="41"/>
      <c r="D838" s="41"/>
      <c r="E838" s="41"/>
      <c r="F838" s="41"/>
    </row>
    <row r="839" s="1" customFormat="1" ht="37.5" spans="1:6">
      <c r="A839" s="41">
        <v>6</v>
      </c>
      <c r="B839" s="42" t="s">
        <v>640</v>
      </c>
      <c r="C839" s="41">
        <v>8</v>
      </c>
      <c r="D839" s="41">
        <v>8</v>
      </c>
      <c r="E839" s="76"/>
      <c r="F839" s="41"/>
    </row>
    <row r="840" s="1" customFormat="1" ht="18.75" spans="1:6">
      <c r="A840" s="41"/>
      <c r="B840" s="42" t="s">
        <v>641</v>
      </c>
      <c r="C840" s="76"/>
      <c r="D840" s="76"/>
      <c r="E840" s="76"/>
      <c r="F840" s="41"/>
    </row>
    <row r="841" s="1" customFormat="1" ht="18.75" spans="1:6">
      <c r="A841" s="41"/>
      <c r="B841" s="42" t="s">
        <v>642</v>
      </c>
      <c r="C841" s="76"/>
      <c r="D841" s="76"/>
      <c r="E841" s="76"/>
      <c r="F841" s="41"/>
    </row>
    <row r="842" s="1" customFormat="1" ht="18.75" spans="1:6">
      <c r="A842" s="41"/>
      <c r="B842" s="42" t="s">
        <v>643</v>
      </c>
      <c r="C842" s="76"/>
      <c r="D842" s="76"/>
      <c r="E842" s="76"/>
      <c r="F842" s="41"/>
    </row>
    <row r="843" s="1" customFormat="1" ht="18.75" spans="1:6">
      <c r="A843" s="41"/>
      <c r="B843" s="42" t="s">
        <v>644</v>
      </c>
      <c r="C843" s="76"/>
      <c r="D843" s="76"/>
      <c r="E843" s="76"/>
      <c r="F843" s="41"/>
    </row>
    <row r="844" s="1" customFormat="1" ht="18.75" spans="1:6">
      <c r="A844" s="41"/>
      <c r="B844" s="42" t="s">
        <v>645</v>
      </c>
      <c r="C844" s="76"/>
      <c r="D844" s="76"/>
      <c r="E844" s="76"/>
      <c r="F844" s="41"/>
    </row>
    <row r="845" s="1" customFormat="1" ht="18.75" spans="1:6">
      <c r="A845" s="41"/>
      <c r="B845" s="42" t="s">
        <v>646</v>
      </c>
      <c r="C845" s="76"/>
      <c r="D845" s="76"/>
      <c r="E845" s="76"/>
      <c r="F845" s="41"/>
    </row>
    <row r="846" s="1" customFormat="1" ht="18.75" spans="1:6">
      <c r="A846" s="41"/>
      <c r="B846" s="42" t="s">
        <v>647</v>
      </c>
      <c r="C846" s="76"/>
      <c r="D846" s="76"/>
      <c r="E846" s="76"/>
      <c r="F846" s="41"/>
    </row>
    <row r="847" s="1" customFormat="1" ht="37.5" spans="1:6">
      <c r="A847" s="41"/>
      <c r="B847" s="42" t="s">
        <v>648</v>
      </c>
      <c r="C847" s="76"/>
      <c r="D847" s="76"/>
      <c r="E847" s="76"/>
      <c r="F847" s="41"/>
    </row>
    <row r="848" s="1" customFormat="1" ht="37.5" spans="1:6">
      <c r="A848" s="41">
        <v>7</v>
      </c>
      <c r="B848" s="42" t="s">
        <v>649</v>
      </c>
      <c r="C848" s="41">
        <v>5</v>
      </c>
      <c r="D848" s="41">
        <v>5</v>
      </c>
      <c r="E848" s="76"/>
      <c r="F848" s="41"/>
    </row>
    <row r="849" s="1" customFormat="1" ht="37.5" spans="1:6">
      <c r="A849" s="41"/>
      <c r="B849" s="42" t="s">
        <v>650</v>
      </c>
      <c r="C849" s="76"/>
      <c r="D849" s="76"/>
      <c r="E849" s="76"/>
      <c r="F849" s="41"/>
    </row>
    <row r="850" s="1" customFormat="1" ht="37.5" spans="1:6">
      <c r="A850" s="41"/>
      <c r="B850" s="42" t="s">
        <v>651</v>
      </c>
      <c r="C850" s="76"/>
      <c r="D850" s="76"/>
      <c r="E850" s="76"/>
      <c r="F850" s="41"/>
    </row>
    <row r="851" s="1" customFormat="1" ht="37.5" spans="1:6">
      <c r="A851" s="41"/>
      <c r="B851" s="42" t="s">
        <v>652</v>
      </c>
      <c r="C851" s="76"/>
      <c r="D851" s="76"/>
      <c r="E851" s="76"/>
      <c r="F851" s="41"/>
    </row>
    <row r="852" s="1" customFormat="1" ht="18.75" spans="1:6">
      <c r="A852" s="41"/>
      <c r="B852" s="42" t="s">
        <v>653</v>
      </c>
      <c r="C852" s="76"/>
      <c r="D852" s="76"/>
      <c r="E852" s="76"/>
      <c r="F852" s="41"/>
    </row>
    <row r="853" s="1" customFormat="1" ht="23.25" spans="1:6">
      <c r="A853" s="41">
        <v>8</v>
      </c>
      <c r="B853" s="42" t="s">
        <v>654</v>
      </c>
      <c r="C853" s="41">
        <v>3</v>
      </c>
      <c r="D853" s="41">
        <v>3</v>
      </c>
      <c r="E853" s="76"/>
      <c r="F853" s="41"/>
    </row>
    <row r="854" s="1" customFormat="1" ht="18.75" spans="1:6">
      <c r="A854" s="41"/>
      <c r="B854" s="42" t="s">
        <v>655</v>
      </c>
      <c r="C854" s="76"/>
      <c r="D854" s="76"/>
      <c r="E854" s="76"/>
      <c r="F854" s="6"/>
    </row>
    <row r="855" s="1" customFormat="1" ht="23.25" spans="1:6">
      <c r="A855" s="41"/>
      <c r="B855" s="42" t="s">
        <v>656</v>
      </c>
      <c r="C855" s="76"/>
      <c r="D855" s="76"/>
      <c r="E855" s="76"/>
      <c r="F855" s="6"/>
    </row>
    <row r="856" s="1" customFormat="1" ht="37.5" spans="1:6">
      <c r="A856" s="41">
        <v>9</v>
      </c>
      <c r="B856" s="42" t="s">
        <v>657</v>
      </c>
      <c r="C856" s="41">
        <v>5</v>
      </c>
      <c r="D856" s="41">
        <v>5</v>
      </c>
      <c r="E856" s="76"/>
      <c r="F856" s="41"/>
    </row>
    <row r="857" s="1" customFormat="1" ht="37.5" spans="1:6">
      <c r="A857" s="41"/>
      <c r="B857" s="42" t="s">
        <v>658</v>
      </c>
      <c r="C857" s="76"/>
      <c r="D857" s="76"/>
      <c r="E857" s="76"/>
      <c r="F857" s="41"/>
    </row>
    <row r="858" s="1" customFormat="1" ht="37.5" spans="1:6">
      <c r="A858" s="41"/>
      <c r="B858" s="42" t="s">
        <v>659</v>
      </c>
      <c r="C858" s="76"/>
      <c r="D858" s="76"/>
      <c r="E858" s="76"/>
      <c r="F858" s="41"/>
    </row>
    <row r="859" s="1" customFormat="1" ht="37.5" spans="1:6">
      <c r="A859" s="41"/>
      <c r="B859" s="42" t="s">
        <v>660</v>
      </c>
      <c r="C859" s="76"/>
      <c r="D859" s="76"/>
      <c r="E859" s="76"/>
      <c r="F859" s="41"/>
    </row>
    <row r="860" s="1" customFormat="1" ht="18.75" spans="1:6">
      <c r="A860" s="41"/>
      <c r="B860" s="42" t="s">
        <v>661</v>
      </c>
      <c r="C860" s="76"/>
      <c r="D860" s="76"/>
      <c r="E860" s="76"/>
      <c r="F860" s="41"/>
    </row>
    <row r="861" s="1" customFormat="1" ht="37.5" spans="1:6">
      <c r="A861" s="41">
        <v>10</v>
      </c>
      <c r="B861" s="42" t="s">
        <v>662</v>
      </c>
      <c r="C861" s="41">
        <v>5</v>
      </c>
      <c r="D861" s="41">
        <v>5</v>
      </c>
      <c r="E861" s="76"/>
      <c r="F861" s="41"/>
    </row>
    <row r="862" s="1" customFormat="1" ht="18.75" spans="1:6">
      <c r="A862" s="41"/>
      <c r="B862" s="42" t="s">
        <v>608</v>
      </c>
      <c r="C862" s="41"/>
      <c r="D862" s="41"/>
      <c r="E862" s="41"/>
      <c r="F862" s="41"/>
    </row>
    <row r="863" s="1" customFormat="1" ht="18.75" spans="1:6">
      <c r="A863" s="41"/>
      <c r="B863" s="42" t="s">
        <v>663</v>
      </c>
      <c r="C863" s="41"/>
      <c r="D863" s="41"/>
      <c r="E863" s="41"/>
      <c r="F863" s="41"/>
    </row>
    <row r="864" s="1" customFormat="1" ht="18.75" spans="1:6">
      <c r="A864" s="41"/>
      <c r="B864" s="42" t="s">
        <v>664</v>
      </c>
      <c r="C864" s="41"/>
      <c r="D864" s="41"/>
      <c r="E864" s="41"/>
      <c r="F864" s="41"/>
    </row>
    <row r="865" s="1" customFormat="1" ht="18.75" spans="1:6">
      <c r="A865" s="41"/>
      <c r="B865" s="42" t="s">
        <v>665</v>
      </c>
      <c r="C865" s="41"/>
      <c r="D865" s="41"/>
      <c r="E865" s="41"/>
      <c r="F865" s="41"/>
    </row>
    <row r="866" s="1" customFormat="1" ht="18.75" spans="1:6">
      <c r="A866" s="41"/>
      <c r="B866" s="42" t="s">
        <v>666</v>
      </c>
      <c r="C866" s="41"/>
      <c r="D866" s="41"/>
      <c r="E866" s="41"/>
      <c r="F866" s="41"/>
    </row>
    <row r="867" s="1" customFormat="1" ht="37.5" spans="1:6">
      <c r="A867" s="41"/>
      <c r="B867" s="42" t="s">
        <v>667</v>
      </c>
      <c r="C867" s="41"/>
      <c r="D867" s="41"/>
      <c r="E867" s="41"/>
      <c r="F867" s="41"/>
    </row>
    <row r="868" s="1" customFormat="1" ht="56.25" spans="1:6">
      <c r="A868" s="41">
        <v>11</v>
      </c>
      <c r="B868" s="42" t="s">
        <v>668</v>
      </c>
      <c r="C868" s="41">
        <v>4</v>
      </c>
      <c r="D868" s="41">
        <v>4</v>
      </c>
      <c r="E868" s="76"/>
      <c r="F868" s="41"/>
    </row>
    <row r="869" s="1" customFormat="1" ht="18.75" spans="1:6">
      <c r="A869" s="41"/>
      <c r="B869" s="42" t="s">
        <v>561</v>
      </c>
      <c r="C869" s="76"/>
      <c r="D869" s="76"/>
      <c r="E869" s="76"/>
      <c r="F869" s="41"/>
    </row>
    <row r="870" s="1" customFormat="1" ht="56.25" spans="1:6">
      <c r="A870" s="41"/>
      <c r="B870" s="42" t="s">
        <v>669</v>
      </c>
      <c r="C870" s="76"/>
      <c r="D870" s="76"/>
      <c r="E870" s="76"/>
      <c r="F870" s="41"/>
    </row>
    <row r="871" s="1" customFormat="1" ht="18.75" spans="1:6">
      <c r="A871" s="41">
        <v>12</v>
      </c>
      <c r="B871" s="42" t="s">
        <v>670</v>
      </c>
      <c r="C871" s="41">
        <v>8</v>
      </c>
      <c r="D871" s="41">
        <v>8</v>
      </c>
      <c r="E871" s="41"/>
      <c r="F871" s="41"/>
    </row>
    <row r="872" s="1" customFormat="1" ht="18.75" spans="1:6">
      <c r="A872" s="41"/>
      <c r="B872" s="42" t="s">
        <v>671</v>
      </c>
      <c r="C872" s="76"/>
      <c r="D872" s="76"/>
      <c r="E872" s="76"/>
      <c r="F872" s="41"/>
    </row>
    <row r="873" s="1" customFormat="1" ht="18.75" spans="1:6">
      <c r="A873" s="41"/>
      <c r="B873" s="42" t="s">
        <v>672</v>
      </c>
      <c r="C873" s="76"/>
      <c r="D873" s="76"/>
      <c r="E873" s="76"/>
      <c r="F873" s="41"/>
    </row>
    <row r="874" s="1" customFormat="1" ht="18.75" spans="1:6">
      <c r="A874" s="41"/>
      <c r="B874" s="42" t="s">
        <v>574</v>
      </c>
      <c r="C874" s="76"/>
      <c r="D874" s="76"/>
      <c r="E874" s="76"/>
      <c r="F874" s="41"/>
    </row>
    <row r="875" s="1" customFormat="1" ht="18.75" spans="1:6">
      <c r="A875" s="41"/>
      <c r="B875" s="42" t="s">
        <v>673</v>
      </c>
      <c r="C875" s="76"/>
      <c r="D875" s="76"/>
      <c r="E875" s="76"/>
      <c r="F875" s="41"/>
    </row>
    <row r="876" s="1" customFormat="1" ht="18.75" spans="1:6">
      <c r="A876" s="41"/>
      <c r="B876" s="42" t="s">
        <v>674</v>
      </c>
      <c r="C876" s="76"/>
      <c r="D876" s="76"/>
      <c r="E876" s="76"/>
      <c r="F876" s="41"/>
    </row>
    <row r="877" s="1" customFormat="1" ht="18.75" spans="1:6">
      <c r="A877" s="41"/>
      <c r="B877" s="42" t="s">
        <v>675</v>
      </c>
      <c r="C877" s="76"/>
      <c r="D877" s="76"/>
      <c r="E877" s="76"/>
      <c r="F877" s="41"/>
    </row>
    <row r="878" s="1" customFormat="1" ht="18.75" spans="1:6">
      <c r="A878" s="41"/>
      <c r="B878" s="42" t="s">
        <v>676</v>
      </c>
      <c r="C878" s="76"/>
      <c r="D878" s="76"/>
      <c r="E878" s="76"/>
      <c r="F878" s="41"/>
    </row>
    <row r="879" s="1" customFormat="1" ht="18.75" spans="1:6">
      <c r="A879" s="41"/>
      <c r="B879" s="42" t="s">
        <v>677</v>
      </c>
      <c r="C879" s="76"/>
      <c r="D879" s="76"/>
      <c r="E879" s="76"/>
      <c r="F879" s="41"/>
    </row>
    <row r="880" s="1" customFormat="1" ht="18.75" spans="1:6">
      <c r="A880" s="41"/>
      <c r="B880" s="42" t="s">
        <v>678</v>
      </c>
      <c r="C880" s="76"/>
      <c r="D880" s="76"/>
      <c r="E880" s="76"/>
      <c r="F880" s="41"/>
    </row>
    <row r="881" s="1" customFormat="1" ht="18.75" spans="1:6">
      <c r="A881" s="41"/>
      <c r="B881" s="42" t="s">
        <v>679</v>
      </c>
      <c r="C881" s="76"/>
      <c r="D881" s="76"/>
      <c r="E881" s="76"/>
      <c r="F881" s="41"/>
    </row>
    <row r="882" s="1" customFormat="1" ht="18.75" spans="1:6">
      <c r="A882" s="41">
        <v>13</v>
      </c>
      <c r="B882" s="42" t="s">
        <v>680</v>
      </c>
      <c r="C882" s="41">
        <v>2</v>
      </c>
      <c r="D882" s="41">
        <v>2</v>
      </c>
      <c r="E882" s="76"/>
      <c r="F882" s="41"/>
    </row>
    <row r="883" s="1" customFormat="1" ht="18.75" spans="1:6">
      <c r="A883" s="6"/>
      <c r="B883" s="42" t="s">
        <v>608</v>
      </c>
      <c r="C883" s="41"/>
      <c r="D883" s="41"/>
      <c r="E883" s="76"/>
      <c r="F883" s="41"/>
    </row>
    <row r="884" s="1" customFormat="1" ht="18.75" spans="1:6">
      <c r="A884" s="6"/>
      <c r="B884" s="42" t="s">
        <v>681</v>
      </c>
      <c r="C884" s="41"/>
      <c r="D884" s="41"/>
      <c r="E884" s="76"/>
      <c r="F884" s="41"/>
    </row>
    <row r="885" s="1" customFormat="1" ht="18.75" spans="1:6">
      <c r="A885" s="41"/>
      <c r="B885" s="63" t="s">
        <v>319</v>
      </c>
      <c r="C885" s="6">
        <v>47</v>
      </c>
      <c r="D885" s="6"/>
      <c r="E885" s="6">
        <v>45</v>
      </c>
      <c r="F885" s="6">
        <v>2</v>
      </c>
    </row>
    <row r="886" s="1" customFormat="1" ht="56.25" spans="1:6">
      <c r="A886" s="41">
        <v>1</v>
      </c>
      <c r="B886" s="42" t="s">
        <v>682</v>
      </c>
      <c r="C886" s="41">
        <v>4</v>
      </c>
      <c r="D886" s="41"/>
      <c r="E886" s="41">
        <v>4</v>
      </c>
      <c r="F886" s="41"/>
    </row>
    <row r="887" s="1" customFormat="1" ht="75" spans="1:6">
      <c r="A887" s="41">
        <v>2</v>
      </c>
      <c r="B887" s="42" t="s">
        <v>683</v>
      </c>
      <c r="C887" s="41">
        <v>4</v>
      </c>
      <c r="D887" s="41"/>
      <c r="E887" s="41">
        <v>4</v>
      </c>
      <c r="F887" s="41"/>
    </row>
    <row r="888" s="1" customFormat="1" ht="37.5" spans="1:6">
      <c r="A888" s="41">
        <v>3</v>
      </c>
      <c r="B888" s="42" t="s">
        <v>684</v>
      </c>
      <c r="C888" s="41">
        <v>4</v>
      </c>
      <c r="D888" s="41"/>
      <c r="E888" s="41">
        <v>4</v>
      </c>
      <c r="F888" s="41"/>
    </row>
    <row r="889" s="1" customFormat="1" ht="37.5" spans="1:6">
      <c r="A889" s="41">
        <v>4</v>
      </c>
      <c r="B889" s="42" t="s">
        <v>685</v>
      </c>
      <c r="C889" s="41">
        <v>4</v>
      </c>
      <c r="D889" s="41"/>
      <c r="E889" s="41">
        <v>4</v>
      </c>
      <c r="F889" s="6"/>
    </row>
    <row r="890" s="1" customFormat="1" ht="37.5" spans="1:6">
      <c r="A890" s="41">
        <v>5</v>
      </c>
      <c r="B890" s="42" t="s">
        <v>686</v>
      </c>
      <c r="C890" s="41">
        <v>4</v>
      </c>
      <c r="D890" s="41"/>
      <c r="E890" s="41">
        <v>4</v>
      </c>
      <c r="F890" s="6"/>
    </row>
    <row r="891" s="1" customFormat="1" ht="37.5" spans="1:6">
      <c r="A891" s="41">
        <v>6</v>
      </c>
      <c r="B891" s="42" t="s">
        <v>687</v>
      </c>
      <c r="C891" s="41">
        <v>4</v>
      </c>
      <c r="D891" s="41"/>
      <c r="E891" s="41">
        <v>4</v>
      </c>
      <c r="F891" s="41"/>
    </row>
    <row r="892" s="1" customFormat="1" ht="56.25" spans="1:6">
      <c r="A892" s="41">
        <v>7</v>
      </c>
      <c r="B892" s="42" t="s">
        <v>688</v>
      </c>
      <c r="C892" s="41">
        <v>4</v>
      </c>
      <c r="D892" s="41"/>
      <c r="E892" s="41">
        <v>4</v>
      </c>
      <c r="F892" s="41"/>
    </row>
    <row r="893" s="1" customFormat="1" ht="75" spans="1:6">
      <c r="A893" s="41">
        <v>8</v>
      </c>
      <c r="B893" s="42" t="s">
        <v>689</v>
      </c>
      <c r="C893" s="41">
        <v>4</v>
      </c>
      <c r="D893" s="41" t="s">
        <v>690</v>
      </c>
      <c r="E893" s="41">
        <v>4</v>
      </c>
      <c r="F893" s="41"/>
    </row>
    <row r="894" s="1" customFormat="1" ht="93.75" spans="1:6">
      <c r="A894" s="41">
        <v>9</v>
      </c>
      <c r="B894" s="42" t="s">
        <v>691</v>
      </c>
      <c r="C894" s="41">
        <v>4</v>
      </c>
      <c r="D894" s="41"/>
      <c r="E894" s="41">
        <v>4</v>
      </c>
      <c r="F894" s="41"/>
    </row>
    <row r="895" s="1" customFormat="1" ht="56.25" spans="1:6">
      <c r="A895" s="41">
        <v>10</v>
      </c>
      <c r="B895" s="42" t="s">
        <v>692</v>
      </c>
      <c r="C895" s="41">
        <v>4</v>
      </c>
      <c r="D895" s="41"/>
      <c r="E895" s="41">
        <v>4</v>
      </c>
      <c r="F895" s="41"/>
    </row>
    <row r="896" s="1" customFormat="1" ht="56.25" spans="1:6">
      <c r="A896" s="41">
        <v>11</v>
      </c>
      <c r="B896" s="42" t="s">
        <v>693</v>
      </c>
      <c r="C896" s="41">
        <v>4</v>
      </c>
      <c r="D896" s="41"/>
      <c r="E896" s="41">
        <v>4</v>
      </c>
      <c r="F896" s="41"/>
    </row>
    <row r="897" s="1" customFormat="1" ht="18.75" spans="1:6">
      <c r="A897" s="41">
        <v>12</v>
      </c>
      <c r="B897" s="42" t="s">
        <v>694</v>
      </c>
      <c r="C897" s="6"/>
      <c r="D897" s="6"/>
      <c r="E897" s="6"/>
      <c r="F897" s="6"/>
    </row>
    <row r="898" s="1" customFormat="1" ht="18.75" spans="1:6">
      <c r="A898" s="42"/>
      <c r="B898" s="6" t="s">
        <v>69</v>
      </c>
      <c r="C898" s="6">
        <f t="shared" ref="C898:F898" si="82">SUM(C817,C885)</f>
        <v>120</v>
      </c>
      <c r="D898" s="6">
        <f t="shared" si="82"/>
        <v>70</v>
      </c>
      <c r="E898" s="6">
        <f t="shared" si="82"/>
        <v>45</v>
      </c>
      <c r="F898" s="6">
        <f t="shared" si="82"/>
        <v>5</v>
      </c>
    </row>
    <row r="899" s="1" customFormat="1" ht="32.25" customHeight="1" spans="1:6">
      <c r="B899" s="88" t="s">
        <v>695</v>
      </c>
      <c r="C899" s="88"/>
      <c r="D899" s="88"/>
      <c r="E899" s="88"/>
      <c r="F899" s="88"/>
    </row>
    <row r="900" s="1" customFormat="1" ht="18.75" spans="1:6">
      <c r="A900" s="2" t="s">
        <v>696</v>
      </c>
      <c r="B900" s="31" t="str">
        <f>VLOOKUP(A900,$A$7:$B$50,2,FALSE)</f>
        <v>Dược liệu</v>
      </c>
    </row>
    <row r="901" s="1" customFormat="1" ht="18.75" spans="1:6">
      <c r="A901" s="46" t="s">
        <v>79</v>
      </c>
      <c r="B901" s="46" t="s">
        <v>80</v>
      </c>
      <c r="C901" s="46" t="s">
        <v>81</v>
      </c>
      <c r="D901" s="46"/>
      <c r="E901" s="46"/>
      <c r="F901" s="46"/>
    </row>
    <row r="902" s="1" customFormat="1" ht="75" spans="1:6">
      <c r="A902" s="47"/>
      <c r="B902" s="47"/>
      <c r="C902" s="47" t="s">
        <v>7</v>
      </c>
      <c r="D902" s="47" t="s">
        <v>9</v>
      </c>
      <c r="E902" s="47" t="s">
        <v>82</v>
      </c>
      <c r="F902" s="47" t="s">
        <v>11</v>
      </c>
    </row>
    <row r="903" s="1" customFormat="1" ht="18.75" spans="1:6">
      <c r="A903" s="56"/>
      <c r="B903" s="69" t="s">
        <v>308</v>
      </c>
      <c r="C903" s="8">
        <v>53</v>
      </c>
      <c r="D903" s="8">
        <v>50</v>
      </c>
      <c r="E903" s="8"/>
      <c r="F903" s="8">
        <v>3</v>
      </c>
    </row>
    <row r="904" s="1" customFormat="1" ht="18.75" spans="1:6">
      <c r="A904" s="56">
        <v>1</v>
      </c>
      <c r="B904" s="57" t="s">
        <v>697</v>
      </c>
      <c r="C904" s="56">
        <v>1</v>
      </c>
      <c r="D904" s="56">
        <v>1</v>
      </c>
      <c r="E904" s="56"/>
      <c r="F904" s="56"/>
    </row>
    <row r="905" s="1" customFormat="1" ht="37.5" spans="1:6">
      <c r="A905" s="56">
        <v>2</v>
      </c>
      <c r="B905" s="57" t="s">
        <v>698</v>
      </c>
      <c r="C905" s="56">
        <v>5</v>
      </c>
      <c r="D905" s="56">
        <v>5</v>
      </c>
      <c r="E905" s="56"/>
      <c r="F905" s="56"/>
    </row>
    <row r="906" s="1" customFormat="1" ht="18.75" spans="1:6">
      <c r="A906" s="56"/>
      <c r="B906" s="57" t="s">
        <v>699</v>
      </c>
      <c r="C906" s="56"/>
      <c r="D906" s="56"/>
      <c r="E906" s="56"/>
      <c r="F906" s="56"/>
    </row>
    <row r="907" s="1" customFormat="1" ht="18.75" spans="1:6">
      <c r="A907" s="56"/>
      <c r="B907" s="57" t="s">
        <v>700</v>
      </c>
      <c r="C907" s="56"/>
      <c r="D907" s="56" t="s">
        <v>701</v>
      </c>
      <c r="E907" s="56"/>
      <c r="F907" s="56"/>
    </row>
    <row r="908" s="1" customFormat="1" ht="18.75" spans="1:6">
      <c r="A908" s="56"/>
      <c r="B908" s="57" t="s">
        <v>702</v>
      </c>
      <c r="C908" s="56"/>
      <c r="D908" s="76"/>
      <c r="E908" s="56"/>
      <c r="F908" s="56"/>
    </row>
    <row r="909" s="1" customFormat="1" ht="18.75" spans="1:6">
      <c r="A909" s="56"/>
      <c r="B909" s="57" t="s">
        <v>703</v>
      </c>
      <c r="C909" s="56"/>
      <c r="D909" s="76"/>
      <c r="E909" s="56"/>
      <c r="F909" s="56"/>
    </row>
    <row r="910" s="1" customFormat="1" ht="37.5" spans="1:6">
      <c r="A910" s="56"/>
      <c r="B910" s="57" t="s">
        <v>704</v>
      </c>
      <c r="C910" s="56"/>
      <c r="D910" s="76"/>
      <c r="E910" s="56"/>
      <c r="F910" s="56"/>
    </row>
    <row r="911" s="1" customFormat="1" ht="37.5" spans="1:6">
      <c r="A911" s="56">
        <v>3</v>
      </c>
      <c r="B911" s="57" t="s">
        <v>705</v>
      </c>
      <c r="C911" s="56">
        <v>5</v>
      </c>
      <c r="D911" s="56">
        <v>5</v>
      </c>
      <c r="E911" s="56"/>
      <c r="F911" s="56"/>
    </row>
    <row r="912" s="1" customFormat="1" ht="18.75" spans="1:6">
      <c r="A912" s="56"/>
      <c r="B912" s="57" t="s">
        <v>706</v>
      </c>
      <c r="C912" s="56"/>
      <c r="D912" s="56"/>
      <c r="E912" s="56"/>
      <c r="F912" s="56"/>
    </row>
    <row r="913" s="1" customFormat="1" ht="18.75" spans="1:6">
      <c r="A913" s="56"/>
      <c r="B913" s="57" t="s">
        <v>707</v>
      </c>
      <c r="C913" s="56"/>
      <c r="D913" s="56" t="s">
        <v>701</v>
      </c>
      <c r="E913" s="56"/>
      <c r="F913" s="56"/>
    </row>
    <row r="914" s="1" customFormat="1" ht="18.75" spans="1:6">
      <c r="A914" s="56"/>
      <c r="B914" s="57" t="s">
        <v>708</v>
      </c>
      <c r="C914" s="56"/>
      <c r="D914" s="76"/>
      <c r="E914" s="56"/>
      <c r="F914" s="56"/>
    </row>
    <row r="915" s="1" customFormat="1" ht="18.75" spans="1:6">
      <c r="A915" s="56"/>
      <c r="B915" s="57" t="s">
        <v>709</v>
      </c>
      <c r="C915" s="56"/>
      <c r="D915" s="76"/>
      <c r="E915" s="56"/>
      <c r="F915" s="56"/>
    </row>
    <row r="916" s="1" customFormat="1" ht="37.5" spans="1:6">
      <c r="A916" s="56">
        <v>4</v>
      </c>
      <c r="B916" s="57" t="s">
        <v>710</v>
      </c>
      <c r="C916" s="56">
        <v>13</v>
      </c>
      <c r="D916" s="56">
        <v>13</v>
      </c>
      <c r="E916" s="56"/>
      <c r="F916" s="56"/>
    </row>
    <row r="917" s="1" customFormat="1" ht="18.75" spans="1:6">
      <c r="A917" s="56"/>
      <c r="B917" s="57" t="s">
        <v>711</v>
      </c>
      <c r="C917" s="56"/>
      <c r="D917" s="56"/>
      <c r="E917" s="56"/>
      <c r="F917" s="56"/>
    </row>
    <row r="918" s="1" customFormat="1" ht="37.5" spans="1:6">
      <c r="A918" s="56"/>
      <c r="B918" s="57" t="s">
        <v>712</v>
      </c>
      <c r="C918" s="56"/>
      <c r="D918" s="56" t="s">
        <v>701</v>
      </c>
      <c r="E918" s="56"/>
      <c r="F918" s="56"/>
    </row>
    <row r="919" s="1" customFormat="1" ht="37.5" spans="1:6">
      <c r="A919" s="56"/>
      <c r="B919" s="57" t="s">
        <v>713</v>
      </c>
      <c r="C919" s="56"/>
      <c r="D919" s="76"/>
      <c r="E919" s="56"/>
      <c r="F919" s="56"/>
    </row>
    <row r="920" s="1" customFormat="1" ht="37.5" spans="1:6">
      <c r="A920" s="56"/>
      <c r="B920" s="57" t="s">
        <v>714</v>
      </c>
      <c r="C920" s="56"/>
      <c r="D920" s="76"/>
      <c r="E920" s="56"/>
      <c r="F920" s="56"/>
    </row>
    <row r="921" s="1" customFormat="1" ht="37.5" spans="1:6">
      <c r="A921" s="56"/>
      <c r="B921" s="57" t="s">
        <v>715</v>
      </c>
      <c r="C921" s="56"/>
      <c r="D921" s="76"/>
      <c r="E921" s="56"/>
      <c r="F921" s="56"/>
    </row>
    <row r="922" s="1" customFormat="1" ht="37.5" spans="1:6">
      <c r="A922" s="56"/>
      <c r="B922" s="57" t="s">
        <v>716</v>
      </c>
      <c r="C922" s="56"/>
      <c r="D922" s="76"/>
      <c r="E922" s="56"/>
      <c r="F922" s="56"/>
    </row>
    <row r="923" s="1" customFormat="1" ht="37.5" spans="1:6">
      <c r="A923" s="56"/>
      <c r="B923" s="57" t="s">
        <v>717</v>
      </c>
      <c r="C923" s="56"/>
      <c r="D923" s="76"/>
      <c r="E923" s="56"/>
      <c r="F923" s="56"/>
    </row>
    <row r="924" s="1" customFormat="1" ht="37.5" spans="1:6">
      <c r="A924" s="56">
        <v>5</v>
      </c>
      <c r="B924" s="57" t="s">
        <v>718</v>
      </c>
      <c r="C924" s="56">
        <v>5</v>
      </c>
      <c r="D924" s="56">
        <v>5</v>
      </c>
      <c r="E924" s="56"/>
      <c r="F924" s="56"/>
    </row>
    <row r="925" s="1" customFormat="1" ht="18.75" spans="1:6">
      <c r="A925" s="56"/>
      <c r="B925" s="57" t="s">
        <v>706</v>
      </c>
      <c r="C925" s="56"/>
      <c r="D925" s="56"/>
      <c r="E925" s="56"/>
      <c r="F925" s="56"/>
    </row>
    <row r="926" s="1" customFormat="1" ht="18.75" spans="1:6">
      <c r="A926" s="56"/>
      <c r="B926" s="57" t="s">
        <v>719</v>
      </c>
      <c r="C926" s="56"/>
      <c r="D926" s="56" t="s">
        <v>701</v>
      </c>
      <c r="E926" s="56"/>
      <c r="F926" s="56"/>
    </row>
    <row r="927" s="1" customFormat="1" ht="18.75" spans="1:6">
      <c r="A927" s="56"/>
      <c r="B927" s="57" t="s">
        <v>720</v>
      </c>
      <c r="C927" s="56"/>
      <c r="D927" s="76"/>
      <c r="E927" s="56"/>
      <c r="F927" s="56"/>
    </row>
    <row r="928" s="1" customFormat="1" ht="18.75" spans="1:6">
      <c r="A928" s="56"/>
      <c r="B928" s="57" t="s">
        <v>721</v>
      </c>
      <c r="C928" s="56"/>
      <c r="D928" s="76"/>
      <c r="E928" s="56"/>
      <c r="F928" s="56"/>
    </row>
    <row r="929" s="1" customFormat="1" ht="18.75" spans="1:6">
      <c r="A929" s="56"/>
      <c r="B929" s="57" t="s">
        <v>722</v>
      </c>
      <c r="C929" s="56"/>
      <c r="D929" s="76"/>
      <c r="E929" s="56"/>
      <c r="F929" s="56"/>
    </row>
    <row r="930" s="1" customFormat="1" ht="18.75" spans="1:6">
      <c r="A930" s="56"/>
      <c r="B930" s="57" t="s">
        <v>723</v>
      </c>
      <c r="C930" s="56"/>
      <c r="D930" s="76"/>
      <c r="E930" s="56"/>
      <c r="F930" s="56"/>
    </row>
    <row r="931" s="1" customFormat="1" ht="37.5" spans="1:6">
      <c r="A931" s="56">
        <v>6</v>
      </c>
      <c r="B931" s="57" t="s">
        <v>724</v>
      </c>
      <c r="C931" s="56">
        <v>8</v>
      </c>
      <c r="D931" s="56">
        <v>8</v>
      </c>
      <c r="E931" s="56"/>
      <c r="F931" s="56"/>
    </row>
    <row r="932" s="1" customFormat="1" ht="18.75" spans="1:6">
      <c r="A932" s="56"/>
      <c r="B932" s="57" t="s">
        <v>725</v>
      </c>
      <c r="C932" s="56"/>
      <c r="D932" s="56"/>
      <c r="E932" s="56"/>
      <c r="F932" s="56"/>
    </row>
    <row r="933" s="1" customFormat="1" ht="18.75" spans="1:6">
      <c r="A933" s="56"/>
      <c r="B933" s="57" t="s">
        <v>726</v>
      </c>
      <c r="C933" s="56"/>
      <c r="D933" s="56" t="s">
        <v>701</v>
      </c>
      <c r="E933" s="56"/>
      <c r="F933" s="56"/>
    </row>
    <row r="934" s="1" customFormat="1" ht="18.75" spans="1:6">
      <c r="A934" s="56"/>
      <c r="B934" s="57" t="s">
        <v>727</v>
      </c>
      <c r="C934" s="56"/>
      <c r="D934" s="76"/>
      <c r="E934" s="56"/>
      <c r="F934" s="56"/>
    </row>
    <row r="935" s="1" customFormat="1" ht="18.75" spans="1:6">
      <c r="A935" s="56"/>
      <c r="B935" s="57" t="s">
        <v>728</v>
      </c>
      <c r="C935" s="56"/>
      <c r="D935" s="76"/>
      <c r="E935" s="56"/>
      <c r="F935" s="56"/>
    </row>
    <row r="936" s="1" customFormat="1" ht="18.75" spans="1:6">
      <c r="A936" s="56"/>
      <c r="B936" s="57" t="s">
        <v>729</v>
      </c>
      <c r="C936" s="56"/>
      <c r="D936" s="76"/>
      <c r="E936" s="56"/>
      <c r="F936" s="56"/>
    </row>
    <row r="937" s="1" customFormat="1" ht="18.75" spans="1:6">
      <c r="A937" s="56"/>
      <c r="B937" s="57" t="s">
        <v>730</v>
      </c>
      <c r="C937" s="56"/>
      <c r="D937" s="76"/>
      <c r="E937" s="56"/>
      <c r="F937" s="56"/>
    </row>
    <row r="938" s="1" customFormat="1" ht="18.75" spans="1:6">
      <c r="A938" s="56"/>
      <c r="B938" s="57" t="s">
        <v>731</v>
      </c>
      <c r="C938" s="56"/>
      <c r="D938" s="76"/>
      <c r="E938" s="56"/>
      <c r="F938" s="56"/>
    </row>
    <row r="939" s="1" customFormat="1" ht="18.75" spans="1:6">
      <c r="A939" s="56"/>
      <c r="B939" s="57" t="s">
        <v>732</v>
      </c>
      <c r="C939" s="56"/>
      <c r="D939" s="76"/>
      <c r="E939" s="56"/>
      <c r="F939" s="56"/>
    </row>
    <row r="940" s="1" customFormat="1" ht="18.75" spans="1:6">
      <c r="A940" s="56">
        <v>7</v>
      </c>
      <c r="B940" s="57" t="s">
        <v>733</v>
      </c>
      <c r="C940" s="56">
        <v>5</v>
      </c>
      <c r="D940" s="56">
        <v>5</v>
      </c>
      <c r="E940" s="56"/>
      <c r="F940" s="56"/>
    </row>
    <row r="941" s="1" customFormat="1" ht="18.75" spans="1:6">
      <c r="A941" s="56"/>
      <c r="B941" s="57" t="s">
        <v>734</v>
      </c>
      <c r="C941" s="56"/>
      <c r="D941" s="56" t="s">
        <v>701</v>
      </c>
      <c r="E941" s="56"/>
      <c r="F941" s="56"/>
    </row>
    <row r="942" s="1" customFormat="1" ht="37.5" spans="1:6">
      <c r="A942" s="56"/>
      <c r="B942" s="57" t="s">
        <v>735</v>
      </c>
      <c r="C942" s="56"/>
      <c r="D942" s="76"/>
      <c r="E942" s="56"/>
      <c r="F942" s="56"/>
    </row>
    <row r="943" s="1" customFormat="1" ht="18.75" spans="1:6">
      <c r="A943" s="56"/>
      <c r="B943" s="57" t="s">
        <v>736</v>
      </c>
      <c r="C943" s="56"/>
      <c r="D943" s="76"/>
      <c r="E943" s="56"/>
      <c r="F943" s="56"/>
    </row>
    <row r="944" s="1" customFormat="1" ht="18.75" spans="1:6">
      <c r="A944" s="56"/>
      <c r="B944" s="57" t="s">
        <v>737</v>
      </c>
      <c r="C944" s="56"/>
      <c r="D944" s="76"/>
      <c r="E944" s="56"/>
      <c r="F944" s="56"/>
    </row>
    <row r="945" s="1" customFormat="1" ht="37.5" spans="1:6">
      <c r="A945" s="56">
        <v>8</v>
      </c>
      <c r="B945" s="57" t="s">
        <v>738</v>
      </c>
      <c r="C945" s="56">
        <v>4</v>
      </c>
      <c r="D945" s="56">
        <v>4</v>
      </c>
      <c r="E945" s="56"/>
      <c r="F945" s="56"/>
    </row>
    <row r="946" s="1" customFormat="1" ht="18.75" spans="1:6">
      <c r="A946" s="56"/>
      <c r="B946" s="57" t="s">
        <v>739</v>
      </c>
      <c r="C946" s="56"/>
      <c r="D946" s="56"/>
      <c r="E946" s="56"/>
      <c r="F946" s="56"/>
    </row>
    <row r="947" s="1" customFormat="1" ht="18.75" spans="1:6">
      <c r="A947" s="56"/>
      <c r="B947" s="57" t="s">
        <v>740</v>
      </c>
      <c r="C947" s="56"/>
      <c r="D947" s="56" t="s">
        <v>701</v>
      </c>
      <c r="E947" s="56"/>
      <c r="F947" s="56"/>
    </row>
    <row r="948" s="1" customFormat="1" ht="18.75" spans="1:6">
      <c r="A948" s="56">
        <v>9</v>
      </c>
      <c r="B948" s="57" t="s">
        <v>741</v>
      </c>
      <c r="C948" s="56">
        <v>4</v>
      </c>
      <c r="D948" s="56">
        <v>4</v>
      </c>
      <c r="E948" s="56"/>
      <c r="F948" s="56"/>
    </row>
    <row r="949" s="1" customFormat="1" ht="18.75" spans="1:6">
      <c r="A949" s="56"/>
      <c r="B949" s="57" t="s">
        <v>742</v>
      </c>
      <c r="C949" s="56"/>
      <c r="D949" s="56" t="s">
        <v>701</v>
      </c>
      <c r="E949" s="56"/>
      <c r="F949" s="56"/>
    </row>
    <row r="950" s="1" customFormat="1" ht="18.75" spans="1:6">
      <c r="A950" s="56"/>
      <c r="B950" s="57" t="s">
        <v>743</v>
      </c>
      <c r="C950" s="56"/>
      <c r="D950" s="76"/>
      <c r="E950" s="56"/>
      <c r="F950" s="56"/>
    </row>
    <row r="951" s="1" customFormat="1" ht="18.75" spans="1:6">
      <c r="A951" s="56"/>
      <c r="B951" s="57" t="s">
        <v>744</v>
      </c>
      <c r="C951" s="56"/>
      <c r="D951" s="76"/>
      <c r="E951" s="56"/>
      <c r="F951" s="56"/>
    </row>
    <row r="952" s="1" customFormat="1" ht="18.75" spans="1:6">
      <c r="A952" s="56"/>
      <c r="B952" s="57" t="s">
        <v>745</v>
      </c>
      <c r="C952" s="56"/>
      <c r="D952" s="76"/>
      <c r="E952" s="56"/>
      <c r="F952" s="56"/>
    </row>
    <row r="953" s="1" customFormat="1" ht="18.75" spans="1:6">
      <c r="A953" s="56"/>
      <c r="B953" s="57" t="s">
        <v>746</v>
      </c>
      <c r="C953" s="56"/>
      <c r="D953" s="76"/>
      <c r="E953" s="56"/>
      <c r="F953" s="56"/>
    </row>
    <row r="954" s="1" customFormat="1" ht="18.75" spans="1:6">
      <c r="A954" s="56"/>
      <c r="B954" s="57" t="s">
        <v>747</v>
      </c>
      <c r="C954" s="56"/>
      <c r="D954" s="76"/>
      <c r="E954" s="56"/>
      <c r="F954" s="56"/>
    </row>
    <row r="955" s="1" customFormat="1" ht="18.75" spans="1:6">
      <c r="A955" s="56"/>
      <c r="B955" s="57" t="s">
        <v>748</v>
      </c>
      <c r="C955" s="56"/>
      <c r="D955" s="76"/>
      <c r="E955" s="56"/>
      <c r="F955" s="56"/>
    </row>
    <row r="956" s="1" customFormat="1" ht="18.75" spans="1:6">
      <c r="A956" s="56"/>
      <c r="B956" s="69" t="s">
        <v>319</v>
      </c>
      <c r="C956" s="8">
        <v>46</v>
      </c>
      <c r="D956" s="8"/>
      <c r="E956" s="8">
        <v>45</v>
      </c>
      <c r="F956" s="8">
        <v>1</v>
      </c>
    </row>
    <row r="957" s="1" customFormat="1" ht="37.5" spans="1:6">
      <c r="A957" s="56">
        <v>1</v>
      </c>
      <c r="B957" s="57" t="s">
        <v>749</v>
      </c>
      <c r="C957" s="56"/>
      <c r="D957" s="56"/>
      <c r="E957" s="56">
        <v>4</v>
      </c>
      <c r="F957" s="56"/>
    </row>
    <row r="958" s="1" customFormat="1" ht="37.5" spans="1:6">
      <c r="A958" s="56">
        <v>2</v>
      </c>
      <c r="B958" s="57" t="s">
        <v>750</v>
      </c>
      <c r="C958" s="56"/>
      <c r="D958" s="56"/>
      <c r="E958" s="56">
        <v>4</v>
      </c>
      <c r="F958" s="56"/>
    </row>
    <row r="959" s="1" customFormat="1" ht="37.5" spans="1:6">
      <c r="A959" s="56">
        <v>3</v>
      </c>
      <c r="B959" s="57" t="s">
        <v>751</v>
      </c>
      <c r="C959" s="56"/>
      <c r="D959" s="56"/>
      <c r="E959" s="56">
        <v>4</v>
      </c>
      <c r="F959" s="56"/>
    </row>
    <row r="960" s="1" customFormat="1" ht="37.5" spans="1:6">
      <c r="A960" s="56">
        <v>4</v>
      </c>
      <c r="B960" s="57" t="s">
        <v>752</v>
      </c>
      <c r="C960" s="56"/>
      <c r="D960" s="56"/>
      <c r="E960" s="56">
        <v>4</v>
      </c>
      <c r="F960" s="56"/>
    </row>
    <row r="961" s="1" customFormat="1" ht="37.5" spans="1:6">
      <c r="A961" s="56">
        <v>5</v>
      </c>
      <c r="B961" s="57" t="s">
        <v>753</v>
      </c>
      <c r="C961" s="56"/>
      <c r="D961" s="56"/>
      <c r="E961" s="56">
        <v>4</v>
      </c>
      <c r="F961" s="56"/>
    </row>
    <row r="962" s="1" customFormat="1" ht="37.5" spans="1:6">
      <c r="A962" s="56">
        <v>6</v>
      </c>
      <c r="B962" s="57" t="s">
        <v>754</v>
      </c>
      <c r="C962" s="56"/>
      <c r="D962" s="56"/>
      <c r="E962" s="56">
        <v>4</v>
      </c>
      <c r="F962" s="56"/>
    </row>
    <row r="963" s="1" customFormat="1" ht="56.25" spans="1:6">
      <c r="A963" s="56">
        <v>7</v>
      </c>
      <c r="B963" s="57" t="s">
        <v>755</v>
      </c>
      <c r="C963" s="56"/>
      <c r="D963" s="56"/>
      <c r="E963" s="56">
        <v>8</v>
      </c>
      <c r="F963" s="56"/>
    </row>
    <row r="964" s="1" customFormat="1" ht="37.5" spans="1:6">
      <c r="A964" s="56">
        <v>8</v>
      </c>
      <c r="B964" s="57" t="s">
        <v>756</v>
      </c>
      <c r="C964" s="56"/>
      <c r="D964" s="56"/>
      <c r="E964" s="56">
        <v>4</v>
      </c>
      <c r="F964" s="56"/>
    </row>
    <row r="965" s="1" customFormat="1" ht="37.5" spans="1:6">
      <c r="A965" s="56">
        <v>9</v>
      </c>
      <c r="B965" s="57" t="s">
        <v>757</v>
      </c>
      <c r="C965" s="56"/>
      <c r="D965" s="56"/>
      <c r="E965" s="56">
        <v>4</v>
      </c>
      <c r="F965" s="56"/>
    </row>
    <row r="966" s="1" customFormat="1" ht="18.75" spans="1:6">
      <c r="A966" s="56">
        <v>10</v>
      </c>
      <c r="B966" s="57" t="s">
        <v>758</v>
      </c>
      <c r="C966" s="56"/>
      <c r="D966" s="56"/>
      <c r="E966" s="56">
        <v>5</v>
      </c>
      <c r="F966" s="56"/>
    </row>
    <row r="967" s="1" customFormat="1" ht="18.75" spans="1:6">
      <c r="A967" s="56"/>
      <c r="B967" s="57" t="s">
        <v>494</v>
      </c>
      <c r="C967" s="56">
        <v>4</v>
      </c>
      <c r="D967" s="56"/>
      <c r="E967" s="56"/>
      <c r="F967" s="56">
        <v>4</v>
      </c>
    </row>
    <row r="968" s="1" customFormat="1" ht="18.75" spans="1:6">
      <c r="A968" s="56"/>
      <c r="B968" s="8" t="s">
        <v>759</v>
      </c>
      <c r="C968" s="8">
        <f t="shared" ref="C968:F968" si="83">SUM(C903,C956)</f>
        <v>99</v>
      </c>
      <c r="D968" s="8">
        <f t="shared" si="83"/>
        <v>50</v>
      </c>
      <c r="E968" s="8">
        <f t="shared" si="83"/>
        <v>45</v>
      </c>
      <c r="F968" s="8">
        <f t="shared" si="83"/>
        <v>4</v>
      </c>
    </row>
    <row r="969" s="1" customFormat="1" ht="34.95" customHeight="1" spans="1:6">
      <c r="B969" s="79" t="s">
        <v>760</v>
      </c>
      <c r="C969" s="79"/>
      <c r="D969" s="79"/>
      <c r="E969" s="79"/>
      <c r="F969" s="79"/>
    </row>
    <row r="970" s="1" customFormat="1" ht="18.75" spans="1:6">
      <c r="A970" s="2" t="s">
        <v>761</v>
      </c>
      <c r="B970" s="31" t="str">
        <f>VLOOKUP(A970,$A$7:$B$50,2,FALSE)</f>
        <v>Dược học cổ truyền</v>
      </c>
    </row>
    <row r="971" s="1" customFormat="1" ht="18.75" spans="1:6">
      <c r="A971" s="46" t="s">
        <v>79</v>
      </c>
      <c r="B971" s="46" t="s">
        <v>80</v>
      </c>
      <c r="C971" s="46" t="s">
        <v>81</v>
      </c>
      <c r="D971" s="46"/>
      <c r="E971" s="46"/>
      <c r="F971" s="46"/>
    </row>
    <row r="972" s="1" customFormat="1" ht="75" spans="1:6">
      <c r="A972" s="47"/>
      <c r="B972" s="47"/>
      <c r="C972" s="47" t="s">
        <v>7</v>
      </c>
      <c r="D972" s="47" t="s">
        <v>9</v>
      </c>
      <c r="E972" s="47" t="s">
        <v>82</v>
      </c>
      <c r="F972" s="47" t="s">
        <v>11</v>
      </c>
    </row>
    <row r="973" s="1" customFormat="1" ht="18.75" spans="1:6">
      <c r="A973" s="57"/>
      <c r="B973" s="69" t="s">
        <v>308</v>
      </c>
      <c r="C973" s="8">
        <v>22</v>
      </c>
      <c r="D973" s="8">
        <v>20</v>
      </c>
      <c r="E973" s="8"/>
      <c r="F973" s="8">
        <v>2</v>
      </c>
    </row>
    <row r="974" s="1" customFormat="1" ht="37.5" spans="1:6">
      <c r="A974" s="56">
        <v>1</v>
      </c>
      <c r="B974" s="57" t="s">
        <v>762</v>
      </c>
      <c r="C974" s="56">
        <v>4</v>
      </c>
      <c r="D974" s="56">
        <v>4</v>
      </c>
      <c r="E974" s="56"/>
      <c r="F974" s="56"/>
    </row>
    <row r="975" s="1" customFormat="1" ht="18.75" spans="1:6">
      <c r="A975" s="56"/>
      <c r="B975" s="57" t="s">
        <v>763</v>
      </c>
      <c r="C975" s="56"/>
      <c r="D975" s="56"/>
      <c r="E975" s="56"/>
      <c r="F975" s="56"/>
    </row>
    <row r="976" s="1" customFormat="1" ht="18.75" spans="1:6">
      <c r="A976" s="56"/>
      <c r="B976" s="57" t="s">
        <v>764</v>
      </c>
      <c r="C976" s="56"/>
      <c r="D976" s="56"/>
      <c r="E976" s="56"/>
      <c r="F976" s="56"/>
    </row>
    <row r="977" s="1" customFormat="1" ht="18.75" spans="1:6">
      <c r="A977" s="56"/>
      <c r="B977" s="57" t="s">
        <v>765</v>
      </c>
      <c r="C977" s="56"/>
      <c r="D977" s="56"/>
      <c r="E977" s="56"/>
      <c r="F977" s="56"/>
    </row>
    <row r="978" s="1" customFormat="1" ht="56.25" spans="1:6">
      <c r="A978" s="56">
        <v>2</v>
      </c>
      <c r="B978" s="57" t="s">
        <v>766</v>
      </c>
      <c r="C978" s="56">
        <v>4</v>
      </c>
      <c r="D978" s="56">
        <v>4</v>
      </c>
      <c r="E978" s="56"/>
      <c r="F978" s="56"/>
    </row>
    <row r="979" s="1" customFormat="1" ht="18.75" spans="1:6">
      <c r="A979" s="56"/>
      <c r="B979" s="57" t="s">
        <v>706</v>
      </c>
      <c r="C979" s="56"/>
      <c r="D979" s="56"/>
      <c r="E979" s="56"/>
      <c r="F979" s="56"/>
    </row>
    <row r="980" s="1" customFormat="1" ht="18.75" spans="1:6">
      <c r="A980" s="56"/>
      <c r="B980" s="57" t="s">
        <v>767</v>
      </c>
      <c r="C980" s="56"/>
      <c r="D980" s="56"/>
      <c r="E980" s="56"/>
      <c r="F980" s="56"/>
    </row>
    <row r="981" s="1" customFormat="1" ht="18.75" spans="1:6">
      <c r="A981" s="56"/>
      <c r="B981" s="57" t="s">
        <v>768</v>
      </c>
      <c r="C981" s="56"/>
      <c r="D981" s="56"/>
      <c r="E981" s="56"/>
      <c r="F981" s="56"/>
    </row>
    <row r="982" s="1" customFormat="1" ht="37.5" spans="1:6">
      <c r="A982" s="56">
        <v>3</v>
      </c>
      <c r="B982" s="57" t="s">
        <v>769</v>
      </c>
      <c r="C982" s="56">
        <v>4</v>
      </c>
      <c r="D982" s="56">
        <v>4</v>
      </c>
      <c r="E982" s="56"/>
      <c r="F982" s="56"/>
    </row>
    <row r="983" s="1" customFormat="1" ht="18.75" spans="1:6">
      <c r="A983" s="56"/>
      <c r="B983" s="57" t="s">
        <v>770</v>
      </c>
      <c r="C983" s="56"/>
      <c r="D983" s="56"/>
      <c r="E983" s="56"/>
      <c r="F983" s="56"/>
    </row>
    <row r="984" s="1" customFormat="1" ht="18.75" spans="1:6">
      <c r="A984" s="56"/>
      <c r="B984" s="57" t="s">
        <v>771</v>
      </c>
      <c r="C984" s="56"/>
      <c r="D984" s="56"/>
      <c r="E984" s="56"/>
      <c r="F984" s="56"/>
    </row>
    <row r="985" s="1" customFormat="1" ht="18.75" spans="1:6">
      <c r="A985" s="56"/>
      <c r="B985" s="57" t="s">
        <v>772</v>
      </c>
      <c r="C985" s="56"/>
      <c r="D985" s="56"/>
      <c r="E985" s="56"/>
      <c r="F985" s="56"/>
    </row>
    <row r="986" s="1" customFormat="1" ht="37.5" spans="1:6">
      <c r="A986" s="56"/>
      <c r="B986" s="57" t="s">
        <v>773</v>
      </c>
      <c r="C986" s="56"/>
      <c r="D986" s="56"/>
      <c r="E986" s="56"/>
      <c r="F986" s="56"/>
    </row>
    <row r="987" s="1" customFormat="1" ht="37.5" spans="1:6">
      <c r="A987" s="56"/>
      <c r="B987" s="57" t="s">
        <v>774</v>
      </c>
      <c r="C987" s="56"/>
      <c r="D987" s="56"/>
      <c r="E987" s="56"/>
      <c r="F987" s="56"/>
    </row>
    <row r="988" s="1" customFormat="1" ht="18.75" spans="1:6">
      <c r="A988" s="56"/>
      <c r="B988" s="57" t="s">
        <v>775</v>
      </c>
      <c r="C988" s="56"/>
      <c r="D988" s="56"/>
      <c r="E988" s="56"/>
      <c r="F988" s="56"/>
    </row>
    <row r="989" s="1" customFormat="1" ht="18.75" spans="1:6">
      <c r="A989" s="56"/>
      <c r="B989" s="57" t="s">
        <v>776</v>
      </c>
      <c r="C989" s="56"/>
      <c r="D989" s="56"/>
      <c r="E989" s="56"/>
      <c r="F989" s="56"/>
    </row>
    <row r="990" s="1" customFormat="1" ht="18.75" spans="1:6">
      <c r="A990" s="56"/>
      <c r="B990" s="57" t="s">
        <v>777</v>
      </c>
      <c r="C990" s="56"/>
      <c r="D990" s="56"/>
      <c r="E990" s="56"/>
      <c r="F990" s="56"/>
    </row>
    <row r="991" s="1" customFormat="1" ht="18.75" spans="1:6">
      <c r="A991" s="56"/>
      <c r="B991" s="57" t="s">
        <v>778</v>
      </c>
      <c r="C991" s="56"/>
      <c r="D991" s="56"/>
      <c r="E991" s="56"/>
      <c r="F991" s="56"/>
    </row>
    <row r="992" s="1" customFormat="1" ht="18.75" spans="1:6">
      <c r="A992" s="56"/>
      <c r="B992" s="57" t="s">
        <v>779</v>
      </c>
      <c r="C992" s="56"/>
      <c r="D992" s="56"/>
      <c r="E992" s="56"/>
      <c r="F992" s="56"/>
    </row>
    <row r="993" s="1" customFormat="1" ht="18.75" spans="1:6">
      <c r="A993" s="56"/>
      <c r="B993" s="57" t="s">
        <v>780</v>
      </c>
      <c r="C993" s="56"/>
      <c r="D993" s="56"/>
      <c r="E993" s="56"/>
      <c r="F993" s="56"/>
    </row>
    <row r="994" s="1" customFormat="1" ht="18.75" spans="1:6">
      <c r="A994" s="56"/>
      <c r="B994" s="57" t="s">
        <v>781</v>
      </c>
      <c r="C994" s="56"/>
      <c r="D994" s="56"/>
      <c r="E994" s="56"/>
      <c r="F994" s="56"/>
    </row>
    <row r="995" s="1" customFormat="1" ht="18.75" spans="1:6">
      <c r="A995" s="56"/>
      <c r="B995" s="57" t="s">
        <v>782</v>
      </c>
      <c r="C995" s="56"/>
      <c r="D995" s="56"/>
      <c r="E995" s="56"/>
      <c r="F995" s="56"/>
    </row>
    <row r="996" s="1" customFormat="1" ht="18.75" spans="1:6">
      <c r="A996" s="56"/>
      <c r="B996" s="57" t="s">
        <v>783</v>
      </c>
      <c r="C996" s="56"/>
      <c r="D996" s="56"/>
      <c r="E996" s="56"/>
      <c r="F996" s="56"/>
    </row>
    <row r="997" s="1" customFormat="1" ht="56.25" spans="1:6">
      <c r="A997" s="56">
        <v>4</v>
      </c>
      <c r="B997" s="57" t="s">
        <v>784</v>
      </c>
      <c r="C997" s="56">
        <v>4</v>
      </c>
      <c r="D997" s="56">
        <v>4</v>
      </c>
      <c r="E997" s="56"/>
      <c r="F997" s="56"/>
    </row>
    <row r="998" s="1" customFormat="1" ht="18.75" spans="1:6">
      <c r="A998" s="56"/>
      <c r="B998" s="57" t="s">
        <v>785</v>
      </c>
      <c r="C998" s="56"/>
      <c r="D998" s="56"/>
      <c r="E998" s="56"/>
      <c r="F998" s="56"/>
    </row>
    <row r="999" s="1" customFormat="1" ht="18.75" spans="1:6">
      <c r="A999" s="56"/>
      <c r="B999" s="57" t="s">
        <v>786</v>
      </c>
      <c r="C999" s="56"/>
      <c r="D999" s="56"/>
      <c r="E999" s="56"/>
      <c r="F999" s="56"/>
    </row>
    <row r="1000" s="1" customFormat="1" ht="37.5" spans="1:6">
      <c r="A1000" s="56">
        <v>5</v>
      </c>
      <c r="B1000" s="57" t="s">
        <v>787</v>
      </c>
      <c r="C1000" s="56">
        <v>4</v>
      </c>
      <c r="D1000" s="56">
        <v>4</v>
      </c>
      <c r="E1000" s="56"/>
      <c r="F1000" s="56"/>
    </row>
    <row r="1001" s="1" customFormat="1" ht="18.75" spans="1:6">
      <c r="A1001" s="56"/>
      <c r="B1001" s="57" t="s">
        <v>788</v>
      </c>
      <c r="C1001" s="56"/>
      <c r="D1001" s="56"/>
      <c r="E1001" s="56"/>
      <c r="F1001" s="56"/>
    </row>
    <row r="1002" s="1" customFormat="1" ht="37.5" spans="1:6">
      <c r="A1002" s="56"/>
      <c r="B1002" s="57" t="s">
        <v>789</v>
      </c>
      <c r="C1002" s="56"/>
      <c r="D1002" s="56"/>
      <c r="E1002" s="56"/>
      <c r="F1002" s="56"/>
    </row>
    <row r="1003" s="1" customFormat="1" ht="37.5" spans="1:6">
      <c r="A1003" s="56"/>
      <c r="B1003" s="57" t="s">
        <v>790</v>
      </c>
      <c r="C1003" s="56"/>
      <c r="D1003" s="56"/>
      <c r="E1003" s="56"/>
      <c r="F1003" s="56"/>
    </row>
    <row r="1004" s="1" customFormat="1" ht="18.75" spans="1:6">
      <c r="A1004" s="56"/>
      <c r="B1004" s="69" t="s">
        <v>319</v>
      </c>
      <c r="C1004" s="8">
        <v>45</v>
      </c>
      <c r="D1004" s="8"/>
      <c r="E1004" s="8">
        <v>45</v>
      </c>
      <c r="F1004" s="8"/>
    </row>
    <row r="1005" s="1" customFormat="1" ht="18.75" spans="1:6">
      <c r="A1005" s="56">
        <v>1</v>
      </c>
      <c r="B1005" s="57" t="s">
        <v>791</v>
      </c>
      <c r="C1005" s="56"/>
      <c r="D1005" s="56"/>
      <c r="E1005" s="56">
        <v>10</v>
      </c>
      <c r="F1005" s="56"/>
    </row>
    <row r="1006" s="1" customFormat="1" ht="18.75" spans="1:6">
      <c r="A1006" s="56">
        <v>2</v>
      </c>
      <c r="B1006" s="57" t="s">
        <v>792</v>
      </c>
      <c r="C1006" s="56"/>
      <c r="D1006" s="56"/>
      <c r="E1006" s="56">
        <v>30</v>
      </c>
      <c r="F1006" s="56"/>
    </row>
    <row r="1007" s="1" customFormat="1" ht="18.75" spans="1:6">
      <c r="A1007" s="56">
        <v>3</v>
      </c>
      <c r="B1007" s="57" t="s">
        <v>793</v>
      </c>
      <c r="C1007" s="56"/>
      <c r="D1007" s="56"/>
      <c r="E1007" s="56">
        <v>5</v>
      </c>
      <c r="F1007" s="56"/>
    </row>
    <row r="1008" s="1" customFormat="1" ht="18.75" spans="1:6">
      <c r="A1008" s="56">
        <v>4</v>
      </c>
      <c r="B1008" s="57" t="s">
        <v>794</v>
      </c>
      <c r="C1008" s="56"/>
      <c r="D1008" s="56"/>
      <c r="E1008" s="56">
        <v>5</v>
      </c>
      <c r="F1008" s="56"/>
    </row>
    <row r="1009" s="1" customFormat="1" ht="18.75" spans="1:6">
      <c r="A1009" s="56"/>
      <c r="B1009" s="57" t="s">
        <v>795</v>
      </c>
      <c r="C1009" s="56">
        <v>2</v>
      </c>
      <c r="D1009" s="56"/>
      <c r="E1009" s="56"/>
      <c r="F1009" s="56">
        <v>2</v>
      </c>
    </row>
    <row r="1010" s="1" customFormat="1" ht="18.75" spans="1:6">
      <c r="A1010" s="8"/>
      <c r="B1010" s="8" t="s">
        <v>69</v>
      </c>
      <c r="C1010" s="8">
        <f t="shared" ref="C1010:F1010" si="84">SUM(C973,C1004)</f>
        <v>67</v>
      </c>
      <c r="D1010" s="8">
        <f t="shared" si="84"/>
        <v>20</v>
      </c>
      <c r="E1010" s="8">
        <f t="shared" si="84"/>
        <v>45</v>
      </c>
      <c r="F1010" s="8">
        <f t="shared" si="84"/>
        <v>2</v>
      </c>
    </row>
    <row r="1011" s="1" customFormat="1" ht="42.45" customHeight="1" spans="1:6">
      <c r="B1011" s="79" t="s">
        <v>796</v>
      </c>
      <c r="C1011" s="79"/>
      <c r="D1011" s="79"/>
      <c r="E1011" s="79"/>
      <c r="F1011" s="79"/>
    </row>
    <row r="1012" s="1" customFormat="1" ht="18.75" spans="1:6">
      <c r="A1012" s="2" t="s">
        <v>797</v>
      </c>
      <c r="B1012" s="31" t="str">
        <f>VLOOKUP(A1012,$A$7:$B$50,2,FALSE)</f>
        <v>Bào chế</v>
      </c>
    </row>
    <row r="1013" s="1" customFormat="1" ht="18.75" spans="1:6">
      <c r="A1013" s="46" t="s">
        <v>79</v>
      </c>
      <c r="B1013" s="46" t="s">
        <v>80</v>
      </c>
      <c r="C1013" s="46" t="s">
        <v>81</v>
      </c>
      <c r="D1013" s="46"/>
      <c r="E1013" s="46"/>
      <c r="F1013" s="46"/>
    </row>
    <row r="1014" s="1" customFormat="1" ht="75" spans="1:6">
      <c r="A1014" s="47"/>
      <c r="B1014" s="47"/>
      <c r="C1014" s="47" t="s">
        <v>7</v>
      </c>
      <c r="D1014" s="47" t="s">
        <v>9</v>
      </c>
      <c r="E1014" s="47" t="s">
        <v>82</v>
      </c>
      <c r="F1014" s="47" t="s">
        <v>11</v>
      </c>
    </row>
    <row r="1015" s="1" customFormat="1" ht="18.75" spans="1:6">
      <c r="A1015" s="56"/>
      <c r="B1015" s="69" t="s">
        <v>308</v>
      </c>
      <c r="C1015" s="8">
        <v>40</v>
      </c>
      <c r="D1015" s="8">
        <v>40</v>
      </c>
      <c r="E1015" s="8"/>
      <c r="F1015" s="8"/>
    </row>
    <row r="1016" s="1" customFormat="1" ht="18.75" spans="1:6">
      <c r="A1016" s="56">
        <v>1</v>
      </c>
      <c r="B1016" s="57" t="s">
        <v>798</v>
      </c>
      <c r="C1016" s="56">
        <v>2</v>
      </c>
      <c r="D1016" s="56">
        <v>2</v>
      </c>
      <c r="E1016" s="56"/>
      <c r="F1016" s="56"/>
    </row>
    <row r="1017" s="1" customFormat="1" ht="18.75" spans="1:6">
      <c r="A1017" s="56">
        <v>2</v>
      </c>
      <c r="B1017" s="57" t="s">
        <v>799</v>
      </c>
      <c r="C1017" s="56">
        <v>2</v>
      </c>
      <c r="D1017" s="56">
        <v>2</v>
      </c>
      <c r="E1017" s="56"/>
      <c r="F1017" s="56"/>
    </row>
    <row r="1018" s="1" customFormat="1" ht="37.5" spans="1:6">
      <c r="A1018" s="56">
        <v>3</v>
      </c>
      <c r="B1018" s="57" t="s">
        <v>800</v>
      </c>
      <c r="C1018" s="56">
        <v>2</v>
      </c>
      <c r="D1018" s="56">
        <v>2</v>
      </c>
      <c r="E1018" s="56"/>
      <c r="F1018" s="56"/>
    </row>
    <row r="1019" s="1" customFormat="1" ht="37.5" spans="1:6">
      <c r="A1019" s="56">
        <v>4</v>
      </c>
      <c r="B1019" s="57" t="s">
        <v>801</v>
      </c>
      <c r="C1019" s="56">
        <v>2</v>
      </c>
      <c r="D1019" s="56">
        <v>2</v>
      </c>
      <c r="E1019" s="56"/>
      <c r="F1019" s="56"/>
    </row>
    <row r="1020" s="1" customFormat="1" ht="37.5" spans="1:6">
      <c r="A1020" s="56">
        <v>5</v>
      </c>
      <c r="B1020" s="57" t="s">
        <v>802</v>
      </c>
      <c r="C1020" s="56">
        <v>2</v>
      </c>
      <c r="D1020" s="56">
        <v>2</v>
      </c>
      <c r="E1020" s="56"/>
      <c r="F1020" s="56"/>
    </row>
    <row r="1021" s="1" customFormat="1" ht="18.75" spans="1:6">
      <c r="A1021" s="56">
        <v>6</v>
      </c>
      <c r="B1021" s="57" t="s">
        <v>803</v>
      </c>
      <c r="C1021" s="56">
        <v>2</v>
      </c>
      <c r="D1021" s="56">
        <v>2</v>
      </c>
      <c r="E1021" s="56"/>
      <c r="F1021" s="56"/>
    </row>
    <row r="1022" s="1" customFormat="1" ht="18.75" spans="1:6">
      <c r="A1022" s="56">
        <v>7</v>
      </c>
      <c r="B1022" s="57" t="s">
        <v>804</v>
      </c>
      <c r="C1022" s="56">
        <v>2</v>
      </c>
      <c r="D1022" s="56">
        <v>2</v>
      </c>
      <c r="E1022" s="56"/>
      <c r="F1022" s="56"/>
    </row>
    <row r="1023" s="1" customFormat="1" ht="37.5" spans="1:6">
      <c r="A1023" s="56">
        <v>8</v>
      </c>
      <c r="B1023" s="57" t="s">
        <v>805</v>
      </c>
      <c r="C1023" s="56">
        <v>2</v>
      </c>
      <c r="D1023" s="56">
        <v>2</v>
      </c>
      <c r="E1023" s="56"/>
      <c r="F1023" s="56"/>
    </row>
    <row r="1024" s="1" customFormat="1" ht="37.5" spans="1:6">
      <c r="A1024" s="56">
        <v>9</v>
      </c>
      <c r="B1024" s="57" t="s">
        <v>806</v>
      </c>
      <c r="C1024" s="56">
        <v>2</v>
      </c>
      <c r="D1024" s="56">
        <v>2</v>
      </c>
      <c r="E1024" s="56"/>
      <c r="F1024" s="56"/>
    </row>
    <row r="1025" s="1" customFormat="1" ht="37.5" spans="1:6">
      <c r="A1025" s="56">
        <v>10</v>
      </c>
      <c r="B1025" s="57" t="s">
        <v>807</v>
      </c>
      <c r="C1025" s="56">
        <v>2</v>
      </c>
      <c r="D1025" s="56">
        <v>2</v>
      </c>
      <c r="E1025" s="56"/>
      <c r="F1025" s="56"/>
    </row>
    <row r="1026" s="1" customFormat="1" ht="37.5" spans="1:6">
      <c r="A1026" s="56">
        <v>11</v>
      </c>
      <c r="B1026" s="57" t="s">
        <v>808</v>
      </c>
      <c r="C1026" s="56">
        <v>2</v>
      </c>
      <c r="D1026" s="56">
        <v>2</v>
      </c>
      <c r="E1026" s="56"/>
      <c r="F1026" s="56"/>
    </row>
    <row r="1027" s="1" customFormat="1" ht="37.5" spans="1:6">
      <c r="A1027" s="56">
        <v>12</v>
      </c>
      <c r="B1027" s="57" t="s">
        <v>809</v>
      </c>
      <c r="C1027" s="56">
        <v>2</v>
      </c>
      <c r="D1027" s="56">
        <v>2</v>
      </c>
      <c r="E1027" s="56"/>
      <c r="F1027" s="56"/>
    </row>
    <row r="1028" s="1" customFormat="1" ht="37.5" spans="1:6">
      <c r="A1028" s="56">
        <v>13</v>
      </c>
      <c r="B1028" s="57" t="s">
        <v>810</v>
      </c>
      <c r="C1028" s="56">
        <v>2</v>
      </c>
      <c r="D1028" s="56">
        <v>2</v>
      </c>
      <c r="E1028" s="56"/>
      <c r="F1028" s="56"/>
    </row>
    <row r="1029" s="1" customFormat="1" ht="37.5" spans="1:6">
      <c r="A1029" s="56">
        <v>14</v>
      </c>
      <c r="B1029" s="57" t="s">
        <v>811</v>
      </c>
      <c r="C1029" s="56">
        <v>2</v>
      </c>
      <c r="D1029" s="56">
        <v>2</v>
      </c>
      <c r="E1029" s="56"/>
      <c r="F1029" s="56"/>
    </row>
    <row r="1030" s="1" customFormat="1" ht="37.5" spans="1:6">
      <c r="A1030" s="56">
        <v>15</v>
      </c>
      <c r="B1030" s="57" t="s">
        <v>812</v>
      </c>
      <c r="C1030" s="56">
        <v>2</v>
      </c>
      <c r="D1030" s="56">
        <v>2</v>
      </c>
      <c r="E1030" s="56"/>
      <c r="F1030" s="56"/>
    </row>
    <row r="1031" s="1" customFormat="1" ht="37.5" spans="1:6">
      <c r="A1031" s="56">
        <v>16</v>
      </c>
      <c r="B1031" s="57" t="s">
        <v>813</v>
      </c>
      <c r="C1031" s="56">
        <v>2</v>
      </c>
      <c r="D1031" s="56">
        <v>2</v>
      </c>
      <c r="E1031" s="56"/>
      <c r="F1031" s="56"/>
    </row>
    <row r="1032" s="1" customFormat="1" ht="37.5" spans="1:6">
      <c r="A1032" s="56">
        <v>17</v>
      </c>
      <c r="B1032" s="57" t="s">
        <v>814</v>
      </c>
      <c r="C1032" s="56">
        <v>2</v>
      </c>
      <c r="D1032" s="56">
        <v>2</v>
      </c>
      <c r="E1032" s="56"/>
      <c r="F1032" s="56"/>
    </row>
    <row r="1033" s="1" customFormat="1" ht="37.5" spans="1:6">
      <c r="A1033" s="56">
        <v>18</v>
      </c>
      <c r="B1033" s="57" t="s">
        <v>815</v>
      </c>
      <c r="C1033" s="56">
        <v>2</v>
      </c>
      <c r="D1033" s="56">
        <v>2</v>
      </c>
      <c r="E1033" s="56"/>
      <c r="F1033" s="56"/>
    </row>
    <row r="1034" s="1" customFormat="1" ht="18.75" spans="1:6">
      <c r="A1034" s="56">
        <v>19</v>
      </c>
      <c r="B1034" s="57" t="s">
        <v>816</v>
      </c>
      <c r="C1034" s="56">
        <v>2</v>
      </c>
      <c r="D1034" s="56">
        <v>2</v>
      </c>
      <c r="E1034" s="56"/>
      <c r="F1034" s="56"/>
    </row>
    <row r="1035" s="1" customFormat="1" ht="37.5" spans="1:6">
      <c r="A1035" s="56">
        <v>20</v>
      </c>
      <c r="B1035" s="57" t="s">
        <v>817</v>
      </c>
      <c r="C1035" s="56">
        <v>2</v>
      </c>
      <c r="D1035" s="56">
        <v>2</v>
      </c>
      <c r="E1035" s="56"/>
      <c r="F1035" s="56"/>
    </row>
    <row r="1036" s="1" customFormat="1" ht="18.75" spans="1:6">
      <c r="A1036" s="56"/>
      <c r="B1036" s="69" t="s">
        <v>319</v>
      </c>
      <c r="C1036" s="8">
        <v>60</v>
      </c>
      <c r="D1036" s="8"/>
      <c r="E1036" s="8">
        <v>60</v>
      </c>
      <c r="F1036" s="8"/>
    </row>
    <row r="1037" s="1" customFormat="1" ht="37.5" spans="1:6">
      <c r="A1037" s="56">
        <v>1</v>
      </c>
      <c r="B1037" s="57" t="s">
        <v>818</v>
      </c>
      <c r="C1037" s="56">
        <v>4</v>
      </c>
      <c r="D1037" s="56"/>
      <c r="E1037" s="56">
        <v>4</v>
      </c>
      <c r="F1037" s="56"/>
    </row>
    <row r="1038" s="1" customFormat="1" ht="37.5" spans="1:6">
      <c r="A1038" s="56">
        <v>2</v>
      </c>
      <c r="B1038" s="57" t="s">
        <v>819</v>
      </c>
      <c r="C1038" s="56">
        <v>12</v>
      </c>
      <c r="D1038" s="56"/>
      <c r="E1038" s="56">
        <v>12</v>
      </c>
      <c r="F1038" s="56"/>
    </row>
    <row r="1039" s="1" customFormat="1" ht="37.5" spans="1:6">
      <c r="A1039" s="56">
        <v>3</v>
      </c>
      <c r="B1039" s="57" t="s">
        <v>820</v>
      </c>
      <c r="C1039" s="56">
        <v>12</v>
      </c>
      <c r="D1039" s="56"/>
      <c r="E1039" s="56">
        <v>12</v>
      </c>
      <c r="F1039" s="56"/>
    </row>
    <row r="1040" s="1" customFormat="1" ht="37.5" spans="1:6">
      <c r="A1040" s="56">
        <v>4</v>
      </c>
      <c r="B1040" s="57" t="s">
        <v>821</v>
      </c>
      <c r="C1040" s="56">
        <v>8</v>
      </c>
      <c r="D1040" s="56"/>
      <c r="E1040" s="56">
        <v>8</v>
      </c>
      <c r="F1040" s="56"/>
    </row>
    <row r="1041" s="1" customFormat="1" ht="37.5" spans="1:6">
      <c r="A1041" s="56">
        <v>5</v>
      </c>
      <c r="B1041" s="57" t="s">
        <v>822</v>
      </c>
      <c r="C1041" s="56">
        <v>8</v>
      </c>
      <c r="D1041" s="56"/>
      <c r="E1041" s="56">
        <v>8</v>
      </c>
      <c r="F1041" s="56"/>
    </row>
    <row r="1042" s="1" customFormat="1" ht="37.5" spans="1:6">
      <c r="A1042" s="56">
        <v>6</v>
      </c>
      <c r="B1042" s="57" t="s">
        <v>823</v>
      </c>
      <c r="C1042" s="56">
        <v>4</v>
      </c>
      <c r="D1042" s="56"/>
      <c r="E1042" s="56">
        <v>4</v>
      </c>
      <c r="F1042" s="56"/>
    </row>
    <row r="1043" s="1" customFormat="1" ht="18.75" spans="1:6">
      <c r="A1043" s="56">
        <v>7</v>
      </c>
      <c r="B1043" s="57" t="s">
        <v>824</v>
      </c>
      <c r="C1043" s="56">
        <v>4</v>
      </c>
      <c r="D1043" s="56"/>
      <c r="E1043" s="56">
        <v>4</v>
      </c>
      <c r="F1043" s="56"/>
    </row>
    <row r="1044" s="1" customFormat="1" ht="18.75" spans="1:6">
      <c r="A1044" s="56">
        <v>8</v>
      </c>
      <c r="B1044" s="57" t="s">
        <v>825</v>
      </c>
      <c r="C1044" s="56">
        <v>4</v>
      </c>
      <c r="D1044" s="56"/>
      <c r="E1044" s="56">
        <v>4</v>
      </c>
      <c r="F1044" s="56"/>
    </row>
    <row r="1045" s="1" customFormat="1" ht="18.75" spans="1:6">
      <c r="A1045" s="56">
        <v>9</v>
      </c>
      <c r="B1045" s="57" t="s">
        <v>826</v>
      </c>
      <c r="C1045" s="56">
        <v>4</v>
      </c>
      <c r="D1045" s="56"/>
      <c r="E1045" s="56">
        <v>4</v>
      </c>
      <c r="F1045" s="56"/>
    </row>
    <row r="1046" s="1" customFormat="1" ht="18.75" spans="1:6">
      <c r="A1046" s="56"/>
      <c r="B1046" s="57" t="s">
        <v>528</v>
      </c>
      <c r="C1046" s="56">
        <v>4</v>
      </c>
      <c r="D1046" s="56"/>
      <c r="E1046" s="56"/>
      <c r="F1046" s="56">
        <v>4</v>
      </c>
    </row>
    <row r="1047" s="1" customFormat="1" ht="18.75" spans="1:6">
      <c r="A1047" s="56"/>
      <c r="B1047" s="69" t="s">
        <v>69</v>
      </c>
      <c r="C1047" s="8">
        <f t="shared" ref="C1047:F1047" si="85">SUM(C1015,C1036,C1046)</f>
        <v>104</v>
      </c>
      <c r="D1047" s="8">
        <f t="shared" si="85"/>
        <v>40</v>
      </c>
      <c r="E1047" s="8">
        <f t="shared" si="85"/>
        <v>60</v>
      </c>
      <c r="F1047" s="8">
        <f t="shared" si="85"/>
        <v>4</v>
      </c>
    </row>
    <row r="1048" s="1" customFormat="1" ht="36.45" customHeight="1" spans="1:6">
      <c r="B1048" s="79" t="s">
        <v>827</v>
      </c>
      <c r="C1048" s="79"/>
      <c r="D1048" s="79"/>
      <c r="E1048" s="79"/>
      <c r="F1048" s="79"/>
    </row>
    <row r="1049" s="1" customFormat="1" ht="18.75" spans="1:6">
      <c r="A1049" s="2" t="s">
        <v>828</v>
      </c>
      <c r="B1049" s="31" t="str">
        <f>VLOOKUP(A1049,$A$7:$B$50,2,FALSE)</f>
        <v>Kỹ thuật sản xuất dược phẩm</v>
      </c>
    </row>
    <row r="1050" s="1" customFormat="1" ht="18.75" spans="1:6">
      <c r="A1050" s="46" t="s">
        <v>79</v>
      </c>
      <c r="B1050" s="46" t="s">
        <v>80</v>
      </c>
      <c r="C1050" s="46" t="s">
        <v>81</v>
      </c>
      <c r="D1050" s="46"/>
      <c r="E1050" s="46"/>
      <c r="F1050" s="46"/>
    </row>
    <row r="1051" s="1" customFormat="1" ht="75" spans="1:6">
      <c r="A1051" s="47"/>
      <c r="B1051" s="47"/>
      <c r="C1051" s="47" t="s">
        <v>7</v>
      </c>
      <c r="D1051" s="47" t="s">
        <v>9</v>
      </c>
      <c r="E1051" s="47" t="s">
        <v>82</v>
      </c>
      <c r="F1051" s="47" t="s">
        <v>11</v>
      </c>
    </row>
    <row r="1052" s="1" customFormat="1" ht="37.5" spans="1:6">
      <c r="A1052" s="56">
        <v>1</v>
      </c>
      <c r="B1052" s="57" t="s">
        <v>829</v>
      </c>
      <c r="C1052" s="56">
        <v>4</v>
      </c>
      <c r="D1052" s="56">
        <v>4</v>
      </c>
      <c r="E1052" s="56"/>
      <c r="F1052" s="56"/>
    </row>
    <row r="1053" s="1" customFormat="1" ht="18.75" spans="1:6">
      <c r="A1053" s="56"/>
      <c r="B1053" s="57" t="s">
        <v>608</v>
      </c>
      <c r="C1053" s="56"/>
      <c r="D1053" s="56"/>
      <c r="E1053" s="56"/>
      <c r="F1053" s="56"/>
    </row>
    <row r="1054" s="1" customFormat="1" ht="18.75" spans="1:6">
      <c r="A1054" s="56"/>
      <c r="B1054" s="57" t="s">
        <v>830</v>
      </c>
      <c r="C1054" s="56"/>
      <c r="D1054" s="56"/>
      <c r="E1054" s="56"/>
      <c r="F1054" s="56"/>
    </row>
    <row r="1055" s="1" customFormat="1" ht="18.75" spans="1:6">
      <c r="A1055" s="56"/>
      <c r="B1055" s="57" t="s">
        <v>831</v>
      </c>
      <c r="C1055" s="56"/>
      <c r="D1055" s="56"/>
      <c r="E1055" s="56"/>
      <c r="F1055" s="56"/>
    </row>
    <row r="1056" s="1" customFormat="1" ht="18.75" spans="1:6">
      <c r="A1056" s="56"/>
      <c r="B1056" s="57" t="s">
        <v>832</v>
      </c>
      <c r="C1056" s="56"/>
      <c r="D1056" s="56"/>
      <c r="E1056" s="56"/>
      <c r="F1056" s="56"/>
    </row>
    <row r="1057" s="1" customFormat="1" ht="18.75" spans="1:6">
      <c r="A1057" s="56"/>
      <c r="B1057" s="57" t="s">
        <v>833</v>
      </c>
      <c r="C1057" s="56"/>
      <c r="D1057" s="56"/>
      <c r="E1057" s="56"/>
      <c r="F1057" s="56"/>
    </row>
    <row r="1058" s="1" customFormat="1" ht="18.75" spans="1:6">
      <c r="A1058" s="56">
        <v>2</v>
      </c>
      <c r="B1058" s="57" t="s">
        <v>834</v>
      </c>
      <c r="C1058" s="56">
        <v>6</v>
      </c>
      <c r="D1058" s="56">
        <v>6</v>
      </c>
      <c r="E1058" s="56"/>
      <c r="F1058" s="56"/>
    </row>
    <row r="1059" s="1" customFormat="1" ht="18.75" spans="1:6">
      <c r="A1059" s="56"/>
      <c r="B1059" s="57" t="s">
        <v>608</v>
      </c>
      <c r="C1059" s="56"/>
      <c r="D1059" s="56"/>
      <c r="E1059" s="56"/>
      <c r="F1059" s="56"/>
    </row>
    <row r="1060" s="1" customFormat="1" ht="18.75" spans="1:6">
      <c r="A1060" s="56"/>
      <c r="B1060" s="57" t="s">
        <v>835</v>
      </c>
      <c r="C1060" s="56"/>
      <c r="D1060" s="56"/>
      <c r="E1060" s="56"/>
      <c r="F1060" s="56"/>
    </row>
    <row r="1061" s="1" customFormat="1" ht="18.75" spans="1:6">
      <c r="A1061" s="56"/>
      <c r="B1061" s="57" t="s">
        <v>836</v>
      </c>
      <c r="C1061" s="56"/>
      <c r="D1061" s="56"/>
      <c r="E1061" s="56"/>
      <c r="F1061" s="56"/>
    </row>
    <row r="1062" s="1" customFormat="1" ht="18.75" spans="1:6">
      <c r="A1062" s="56"/>
      <c r="B1062" s="57" t="s">
        <v>837</v>
      </c>
      <c r="C1062" s="56"/>
      <c r="D1062" s="56"/>
      <c r="E1062" s="56"/>
      <c r="F1062" s="56"/>
    </row>
    <row r="1063" s="1" customFormat="1" ht="37.5" spans="1:6">
      <c r="A1063" s="56"/>
      <c r="B1063" s="57" t="s">
        <v>838</v>
      </c>
      <c r="C1063" s="56"/>
      <c r="D1063" s="56"/>
      <c r="E1063" s="56"/>
      <c r="F1063" s="56"/>
    </row>
    <row r="1064" s="1" customFormat="1" ht="37.5" spans="1:6">
      <c r="A1064" s="56"/>
      <c r="B1064" s="57" t="s">
        <v>839</v>
      </c>
      <c r="C1064" s="56"/>
      <c r="D1064" s="56"/>
      <c r="E1064" s="56"/>
      <c r="F1064" s="56"/>
    </row>
    <row r="1065" s="1" customFormat="1" ht="37.5" spans="1:6">
      <c r="A1065" s="56"/>
      <c r="B1065" s="57" t="s">
        <v>840</v>
      </c>
      <c r="C1065" s="56">
        <v>5</v>
      </c>
      <c r="D1065" s="56">
        <v>5</v>
      </c>
      <c r="E1065" s="56"/>
      <c r="F1065" s="56"/>
    </row>
    <row r="1066" s="1" customFormat="1" ht="18.75" spans="1:6">
      <c r="A1066" s="56"/>
      <c r="B1066" s="57" t="s">
        <v>608</v>
      </c>
      <c r="C1066" s="56"/>
      <c r="D1066" s="56"/>
      <c r="E1066" s="56"/>
      <c r="F1066" s="56"/>
    </row>
    <row r="1067" s="1" customFormat="1" ht="18.75" spans="1:6">
      <c r="A1067" s="56"/>
      <c r="B1067" s="57" t="s">
        <v>841</v>
      </c>
      <c r="C1067" s="56"/>
      <c r="D1067" s="56"/>
      <c r="E1067" s="56"/>
      <c r="F1067" s="56"/>
    </row>
    <row r="1068" s="1" customFormat="1" ht="18.75" spans="1:6">
      <c r="A1068" s="56"/>
      <c r="B1068" s="57" t="s">
        <v>842</v>
      </c>
      <c r="C1068" s="56"/>
      <c r="D1068" s="56"/>
      <c r="E1068" s="56"/>
      <c r="F1068" s="56"/>
    </row>
    <row r="1069" s="1" customFormat="1" ht="37.5" spans="1:6">
      <c r="A1069" s="56"/>
      <c r="B1069" s="57" t="s">
        <v>843</v>
      </c>
      <c r="C1069" s="56"/>
      <c r="D1069" s="56"/>
      <c r="E1069" s="56"/>
      <c r="F1069" s="56"/>
    </row>
    <row r="1070" s="1" customFormat="1" ht="18.75" spans="1:6">
      <c r="A1070" s="56"/>
      <c r="B1070" s="57" t="s">
        <v>844</v>
      </c>
      <c r="C1070" s="56"/>
      <c r="D1070" s="56"/>
      <c r="E1070" s="56"/>
      <c r="F1070" s="56"/>
    </row>
    <row r="1071" s="1" customFormat="1" ht="18.75" spans="1:6">
      <c r="A1071" s="8"/>
      <c r="B1071" s="57" t="s">
        <v>494</v>
      </c>
      <c r="C1071" s="56">
        <v>1</v>
      </c>
      <c r="D1071" s="56"/>
      <c r="E1071" s="56"/>
      <c r="F1071" s="56">
        <v>1</v>
      </c>
    </row>
    <row r="1072" s="1" customFormat="1" ht="18.75" spans="1:6">
      <c r="A1072" s="8"/>
      <c r="B1072" s="8" t="s">
        <v>69</v>
      </c>
      <c r="C1072" s="8">
        <f t="shared" ref="C1072:F1072" si="86">SUM(C1052:C1071)</f>
        <v>16</v>
      </c>
      <c r="D1072" s="8">
        <f t="shared" si="86"/>
        <v>15</v>
      </c>
      <c r="E1072" s="8"/>
      <c r="F1072" s="8">
        <f t="shared" si="86"/>
        <v>1</v>
      </c>
    </row>
    <row r="1073" s="1" customFormat="1" ht="31.5" customHeight="1" spans="1:6">
      <c r="B1073" s="79" t="s">
        <v>827</v>
      </c>
      <c r="C1073" s="79"/>
      <c r="D1073" s="79"/>
      <c r="E1073" s="79"/>
      <c r="F1073" s="79"/>
    </row>
    <row r="1074" s="1" customFormat="1" ht="18.75" spans="1:6">
      <c r="A1074" s="2" t="s">
        <v>845</v>
      </c>
      <c r="B1074" s="31" t="str">
        <f>VLOOKUP(A1074,$A$7:$B$50,2,FALSE)</f>
        <v>Kiểm nghiệm</v>
      </c>
    </row>
    <row r="1075" s="1" customFormat="1" ht="18.75" spans="1:6">
      <c r="A1075" s="46" t="s">
        <v>79</v>
      </c>
      <c r="B1075" s="46" t="s">
        <v>80</v>
      </c>
      <c r="C1075" s="46" t="s">
        <v>81</v>
      </c>
      <c r="D1075" s="46"/>
      <c r="E1075" s="46"/>
      <c r="F1075" s="46"/>
    </row>
    <row r="1076" s="1" customFormat="1" ht="75" spans="1:6">
      <c r="A1076" s="47"/>
      <c r="B1076" s="47"/>
      <c r="C1076" s="47" t="s">
        <v>7</v>
      </c>
      <c r="D1076" s="47" t="s">
        <v>9</v>
      </c>
      <c r="E1076" s="47" t="s">
        <v>82</v>
      </c>
      <c r="F1076" s="47" t="s">
        <v>11</v>
      </c>
    </row>
    <row r="1077" s="1" customFormat="1" ht="18.75" spans="1:6">
      <c r="A1077" s="10"/>
      <c r="B1077" s="89" t="s">
        <v>308</v>
      </c>
      <c r="C1077" s="10">
        <v>42</v>
      </c>
      <c r="D1077" s="10">
        <v>40</v>
      </c>
      <c r="E1077" s="10"/>
      <c r="F1077" s="10">
        <v>2</v>
      </c>
    </row>
    <row r="1078" s="1" customFormat="1" ht="37.5" spans="1:6">
      <c r="A1078" s="14">
        <v>1</v>
      </c>
      <c r="B1078" s="54" t="s">
        <v>846</v>
      </c>
      <c r="C1078" s="14">
        <v>8</v>
      </c>
      <c r="D1078" s="14">
        <v>8</v>
      </c>
      <c r="E1078" s="14"/>
      <c r="F1078" s="14"/>
    </row>
    <row r="1079" s="1" customFormat="1" ht="37.5" spans="1:6">
      <c r="A1079" s="14"/>
      <c r="B1079" s="54" t="s">
        <v>847</v>
      </c>
      <c r="C1079" s="14"/>
      <c r="D1079" s="14"/>
      <c r="E1079" s="14"/>
      <c r="F1079" s="14"/>
    </row>
    <row r="1080" s="1" customFormat="1" ht="18.75" spans="1:6">
      <c r="A1080" s="14"/>
      <c r="B1080" s="54" t="s">
        <v>848</v>
      </c>
      <c r="C1080" s="14"/>
      <c r="D1080" s="14"/>
      <c r="E1080" s="14"/>
      <c r="F1080" s="14"/>
    </row>
    <row r="1081" s="1" customFormat="1" ht="18.75" spans="1:6">
      <c r="A1081" s="14"/>
      <c r="B1081" s="54" t="s">
        <v>849</v>
      </c>
      <c r="C1081" s="14"/>
      <c r="D1081" s="14"/>
      <c r="E1081" s="14"/>
      <c r="F1081" s="14"/>
    </row>
    <row r="1082" s="1" customFormat="1" ht="18.75" spans="1:6">
      <c r="A1082" s="14"/>
      <c r="B1082" s="54" t="s">
        <v>850</v>
      </c>
      <c r="C1082" s="14"/>
      <c r="D1082" s="14"/>
      <c r="E1082" s="14"/>
      <c r="F1082" s="14"/>
    </row>
    <row r="1083" s="1" customFormat="1" ht="37.5" spans="1:6">
      <c r="A1083" s="14"/>
      <c r="B1083" s="54" t="s">
        <v>851</v>
      </c>
      <c r="C1083" s="14">
        <v>6</v>
      </c>
      <c r="D1083" s="14">
        <v>6</v>
      </c>
      <c r="E1083" s="14"/>
      <c r="F1083" s="14"/>
    </row>
    <row r="1084" s="1" customFormat="1" ht="56.25" spans="1:6">
      <c r="A1084" s="14"/>
      <c r="B1084" s="54" t="s">
        <v>852</v>
      </c>
      <c r="C1084" s="14"/>
      <c r="D1084" s="14"/>
      <c r="E1084" s="14"/>
      <c r="F1084" s="14"/>
    </row>
    <row r="1085" s="1" customFormat="1" ht="37.5" spans="1:6">
      <c r="A1085" s="14"/>
      <c r="B1085" s="54" t="s">
        <v>853</v>
      </c>
      <c r="C1085" s="14"/>
      <c r="D1085" s="14"/>
      <c r="E1085" s="14"/>
      <c r="F1085" s="14"/>
    </row>
    <row r="1086" s="1" customFormat="1" ht="37.5" spans="1:6">
      <c r="A1086" s="14"/>
      <c r="B1086" s="54" t="s">
        <v>854</v>
      </c>
      <c r="C1086" s="14"/>
      <c r="D1086" s="14"/>
      <c r="E1086" s="14"/>
      <c r="F1086" s="14"/>
    </row>
    <row r="1087" s="1" customFormat="1" ht="37.5" spans="1:6">
      <c r="A1087" s="14"/>
      <c r="B1087" s="54" t="s">
        <v>855</v>
      </c>
      <c r="C1087" s="14">
        <v>8</v>
      </c>
      <c r="D1087" s="14">
        <v>8</v>
      </c>
      <c r="E1087" s="14"/>
      <c r="F1087" s="14"/>
    </row>
    <row r="1088" s="1" customFormat="1" ht="37.5" spans="1:6">
      <c r="A1088" s="14"/>
      <c r="B1088" s="54" t="s">
        <v>856</v>
      </c>
      <c r="C1088" s="14"/>
      <c r="D1088" s="14"/>
      <c r="E1088" s="14"/>
      <c r="F1088" s="14"/>
    </row>
    <row r="1089" s="1" customFormat="1" ht="37.5" spans="1:6">
      <c r="A1089" s="14"/>
      <c r="B1089" s="54" t="s">
        <v>857</v>
      </c>
      <c r="C1089" s="14"/>
      <c r="D1089" s="14"/>
      <c r="E1089" s="14"/>
      <c r="F1089" s="14"/>
    </row>
    <row r="1090" s="1" customFormat="1" ht="18.75" spans="1:6">
      <c r="A1090" s="14"/>
      <c r="B1090" s="54" t="s">
        <v>858</v>
      </c>
      <c r="C1090" s="14"/>
      <c r="D1090" s="14"/>
      <c r="E1090" s="14"/>
      <c r="F1090" s="14"/>
    </row>
    <row r="1091" s="1" customFormat="1" ht="37.5" spans="1:6">
      <c r="A1091" s="14"/>
      <c r="B1091" s="54" t="s">
        <v>859</v>
      </c>
      <c r="C1091" s="14">
        <v>8</v>
      </c>
      <c r="D1091" s="14">
        <v>8</v>
      </c>
      <c r="E1091" s="14"/>
      <c r="F1091" s="14"/>
    </row>
    <row r="1092" s="1" customFormat="1" ht="37.5" spans="1:6">
      <c r="A1092" s="14"/>
      <c r="B1092" s="54" t="s">
        <v>860</v>
      </c>
      <c r="C1092" s="14"/>
      <c r="D1092" s="14"/>
      <c r="E1092" s="14"/>
      <c r="F1092" s="14"/>
    </row>
    <row r="1093" s="1" customFormat="1" ht="37.5" spans="1:6">
      <c r="A1093" s="14"/>
      <c r="B1093" s="54" t="s">
        <v>861</v>
      </c>
      <c r="C1093" s="14"/>
      <c r="D1093" s="14"/>
      <c r="E1093" s="14"/>
      <c r="F1093" s="14"/>
    </row>
    <row r="1094" s="1" customFormat="1" ht="37.5" spans="1:6">
      <c r="A1094" s="14"/>
      <c r="B1094" s="54" t="s">
        <v>862</v>
      </c>
      <c r="C1094" s="14"/>
      <c r="D1094" s="14"/>
      <c r="E1094" s="14"/>
      <c r="F1094" s="14"/>
    </row>
    <row r="1095" s="1" customFormat="1" ht="37.5" spans="1:6">
      <c r="A1095" s="14"/>
      <c r="B1095" s="54" t="s">
        <v>863</v>
      </c>
      <c r="C1095" s="14">
        <v>10</v>
      </c>
      <c r="D1095" s="14">
        <v>10</v>
      </c>
      <c r="E1095" s="14"/>
      <c r="F1095" s="14"/>
    </row>
    <row r="1096" s="1" customFormat="1" ht="18.75" spans="1:6">
      <c r="A1096" s="14"/>
      <c r="B1096" s="54" t="s">
        <v>864</v>
      </c>
      <c r="C1096" s="14"/>
      <c r="D1096" s="14"/>
      <c r="E1096" s="14"/>
      <c r="F1096" s="14"/>
    </row>
    <row r="1097" s="1" customFormat="1" ht="18.75" spans="1:6">
      <c r="A1097" s="14"/>
      <c r="B1097" s="54" t="s">
        <v>865</v>
      </c>
      <c r="C1097" s="14"/>
      <c r="D1097" s="14"/>
      <c r="E1097" s="14"/>
      <c r="F1097" s="14"/>
    </row>
    <row r="1098" s="1" customFormat="1" ht="18.75" spans="1:6">
      <c r="A1098" s="14"/>
      <c r="B1098" s="54" t="s">
        <v>866</v>
      </c>
      <c r="C1098" s="14"/>
      <c r="D1098" s="14"/>
      <c r="E1098" s="14"/>
      <c r="F1098" s="14"/>
    </row>
    <row r="1099" s="1" customFormat="1" ht="37.5" spans="1:6">
      <c r="A1099" s="14"/>
      <c r="B1099" s="54" t="s">
        <v>867</v>
      </c>
      <c r="C1099" s="14"/>
      <c r="D1099" s="14"/>
      <c r="E1099" s="14"/>
      <c r="F1099" s="14"/>
    </row>
    <row r="1100" s="1" customFormat="1" ht="18.75" spans="1:6">
      <c r="A1100" s="14"/>
      <c r="B1100" s="54" t="s">
        <v>868</v>
      </c>
      <c r="C1100" s="14"/>
      <c r="D1100" s="14"/>
      <c r="E1100" s="14"/>
      <c r="F1100" s="14"/>
    </row>
    <row r="1101" s="1" customFormat="1" ht="37.5" spans="1:6">
      <c r="A1101" s="14"/>
      <c r="B1101" s="54" t="s">
        <v>869</v>
      </c>
      <c r="C1101" s="14"/>
      <c r="D1101" s="14"/>
      <c r="E1101" s="14"/>
      <c r="F1101" s="14"/>
    </row>
    <row r="1102" s="1" customFormat="1" ht="18.75" spans="1:6">
      <c r="A1102" s="14"/>
      <c r="B1102" s="54" t="s">
        <v>870</v>
      </c>
      <c r="C1102" s="14"/>
      <c r="D1102" s="14"/>
      <c r="E1102" s="14"/>
      <c r="F1102" s="14"/>
    </row>
    <row r="1103" s="1" customFormat="1" ht="37.5" spans="1:6">
      <c r="A1103" s="14"/>
      <c r="B1103" s="54" t="s">
        <v>871</v>
      </c>
      <c r="C1103" s="14"/>
      <c r="D1103" s="14"/>
      <c r="E1103" s="14"/>
      <c r="F1103" s="14"/>
    </row>
    <row r="1104" s="1" customFormat="1" ht="18.75" spans="1:6">
      <c r="A1104" s="14"/>
      <c r="B1104" s="89" t="s">
        <v>319</v>
      </c>
      <c r="C1104" s="10">
        <v>31</v>
      </c>
      <c r="D1104" s="10"/>
      <c r="E1104" s="10">
        <v>30</v>
      </c>
      <c r="F1104" s="10">
        <v>1</v>
      </c>
    </row>
    <row r="1105" s="1" customFormat="1" ht="37.5" spans="1:6">
      <c r="A1105" s="14">
        <v>2</v>
      </c>
      <c r="B1105" s="54" t="s">
        <v>872</v>
      </c>
      <c r="C1105" s="14">
        <v>4</v>
      </c>
      <c r="D1105" s="14"/>
      <c r="E1105" s="14">
        <v>4</v>
      </c>
      <c r="F1105" s="14"/>
    </row>
    <row r="1106" s="1" customFormat="1" ht="18.75" spans="1:6">
      <c r="A1106" s="14"/>
      <c r="B1106" s="57" t="s">
        <v>873</v>
      </c>
      <c r="C1106" s="14"/>
      <c r="D1106" s="14"/>
      <c r="E1106" s="14"/>
      <c r="F1106" s="14"/>
    </row>
    <row r="1107" s="1" customFormat="1" ht="37.5" spans="1:6">
      <c r="A1107" s="14"/>
      <c r="B1107" s="57" t="s">
        <v>874</v>
      </c>
      <c r="C1107" s="14"/>
      <c r="D1107" s="14"/>
      <c r="E1107" s="14"/>
      <c r="F1107" s="14"/>
    </row>
    <row r="1108" s="1" customFormat="1" ht="37.5" spans="1:6">
      <c r="A1108" s="14"/>
      <c r="B1108" s="57" t="s">
        <v>875</v>
      </c>
      <c r="C1108" s="14"/>
      <c r="D1108" s="14"/>
      <c r="E1108" s="14"/>
      <c r="F1108" s="14"/>
    </row>
    <row r="1109" s="1" customFormat="1" ht="18.75" spans="1:6">
      <c r="A1109" s="14"/>
      <c r="B1109" s="57" t="s">
        <v>876</v>
      </c>
      <c r="C1109" s="14"/>
      <c r="D1109" s="14"/>
      <c r="E1109" s="14"/>
      <c r="F1109" s="14"/>
    </row>
    <row r="1110" s="1" customFormat="1" ht="37.5" spans="1:6">
      <c r="A1110" s="14"/>
      <c r="B1110" s="54" t="s">
        <v>877</v>
      </c>
      <c r="C1110" s="14">
        <v>4</v>
      </c>
      <c r="D1110" s="14"/>
      <c r="E1110" s="14">
        <v>4</v>
      </c>
      <c r="F1110" s="14"/>
    </row>
    <row r="1111" s="1" customFormat="1" ht="18.75" spans="1:6">
      <c r="A1111" s="14"/>
      <c r="B1111" s="57" t="s">
        <v>873</v>
      </c>
      <c r="C1111" s="14"/>
      <c r="D1111" s="14"/>
      <c r="E1111" s="14"/>
      <c r="F1111" s="14"/>
    </row>
    <row r="1112" s="1" customFormat="1" ht="18.75" spans="1:6">
      <c r="A1112" s="14"/>
      <c r="B1112" s="57" t="s">
        <v>878</v>
      </c>
      <c r="C1112" s="14"/>
      <c r="D1112" s="14"/>
      <c r="E1112" s="14"/>
      <c r="F1112" s="14"/>
    </row>
    <row r="1113" s="1" customFormat="1" ht="18.75" spans="1:6">
      <c r="A1113" s="14"/>
      <c r="B1113" s="57" t="s">
        <v>879</v>
      </c>
      <c r="C1113" s="14"/>
      <c r="D1113" s="14"/>
      <c r="E1113" s="14"/>
      <c r="F1113" s="14"/>
    </row>
    <row r="1114" s="1" customFormat="1" ht="18.75" spans="1:6">
      <c r="A1114" s="14"/>
      <c r="B1114" s="57" t="s">
        <v>880</v>
      </c>
      <c r="C1114" s="14"/>
      <c r="D1114" s="14"/>
      <c r="E1114" s="14"/>
      <c r="F1114" s="14"/>
    </row>
    <row r="1115" s="1" customFormat="1" ht="18.75" spans="1:6">
      <c r="A1115" s="14"/>
      <c r="B1115" s="57" t="s">
        <v>881</v>
      </c>
      <c r="C1115" s="14"/>
      <c r="D1115" s="14"/>
      <c r="E1115" s="14"/>
      <c r="F1115" s="14"/>
    </row>
    <row r="1116" s="1" customFormat="1" ht="37.5" spans="1:6">
      <c r="A1116" s="14"/>
      <c r="B1116" s="54" t="s">
        <v>882</v>
      </c>
      <c r="C1116" s="14">
        <v>4</v>
      </c>
      <c r="D1116" s="14"/>
      <c r="E1116" s="14">
        <v>4</v>
      </c>
      <c r="F1116" s="14"/>
    </row>
    <row r="1117" s="1" customFormat="1" ht="18.75" spans="1:6">
      <c r="A1117" s="14"/>
      <c r="B1117" s="57" t="s">
        <v>873</v>
      </c>
      <c r="C1117" s="14"/>
      <c r="D1117" s="14"/>
      <c r="E1117" s="14"/>
      <c r="F1117" s="14"/>
    </row>
    <row r="1118" s="1" customFormat="1" ht="37.5" spans="1:6">
      <c r="A1118" s="14"/>
      <c r="B1118" s="57" t="s">
        <v>883</v>
      </c>
      <c r="C1118" s="14"/>
      <c r="D1118" s="14"/>
      <c r="E1118" s="14"/>
      <c r="F1118" s="14"/>
    </row>
    <row r="1119" s="1" customFormat="1" ht="37.5" spans="1:6">
      <c r="A1119" s="14"/>
      <c r="B1119" s="57" t="s">
        <v>884</v>
      </c>
      <c r="C1119" s="14"/>
      <c r="D1119" s="14"/>
      <c r="E1119" s="14"/>
      <c r="F1119" s="14"/>
    </row>
    <row r="1120" s="1" customFormat="1" ht="18.75" spans="1:6">
      <c r="A1120" s="14"/>
      <c r="B1120" s="57" t="s">
        <v>885</v>
      </c>
      <c r="C1120" s="14"/>
      <c r="D1120" s="14"/>
      <c r="E1120" s="14"/>
      <c r="F1120" s="14"/>
    </row>
    <row r="1121" s="1" customFormat="1" ht="37.5" spans="1:6">
      <c r="A1121" s="14"/>
      <c r="B1121" s="54" t="s">
        <v>886</v>
      </c>
      <c r="C1121" s="14">
        <v>4</v>
      </c>
      <c r="D1121" s="14"/>
      <c r="E1121" s="14">
        <v>4</v>
      </c>
      <c r="F1121" s="14"/>
    </row>
    <row r="1122" s="1" customFormat="1" ht="18.75" spans="1:6">
      <c r="A1122" s="14"/>
      <c r="B1122" s="54" t="s">
        <v>873</v>
      </c>
      <c r="C1122" s="14"/>
      <c r="D1122" s="14"/>
      <c r="E1122" s="14"/>
      <c r="F1122" s="14"/>
    </row>
    <row r="1123" s="1" customFormat="1" ht="37.5" spans="1:6">
      <c r="A1123" s="14"/>
      <c r="B1123" s="54" t="s">
        <v>887</v>
      </c>
      <c r="C1123" s="14"/>
      <c r="D1123" s="14"/>
      <c r="E1123" s="14"/>
      <c r="F1123" s="14"/>
    </row>
    <row r="1124" s="1" customFormat="1" ht="37.5" spans="1:6">
      <c r="A1124" s="14"/>
      <c r="B1124" s="54" t="s">
        <v>888</v>
      </c>
      <c r="C1124" s="14"/>
      <c r="D1124" s="14"/>
      <c r="E1124" s="14"/>
      <c r="F1124" s="14"/>
    </row>
    <row r="1125" s="1" customFormat="1" ht="18.75" spans="1:6">
      <c r="A1125" s="14"/>
      <c r="B1125" s="54" t="s">
        <v>885</v>
      </c>
      <c r="C1125" s="14"/>
      <c r="D1125" s="14"/>
      <c r="E1125" s="14"/>
      <c r="F1125" s="14"/>
    </row>
    <row r="1126" s="1" customFormat="1" ht="42" spans="1:6">
      <c r="A1126" s="14"/>
      <c r="B1126" s="54" t="s">
        <v>889</v>
      </c>
      <c r="C1126" s="14">
        <v>4</v>
      </c>
      <c r="D1126" s="14"/>
      <c r="E1126" s="14">
        <v>4</v>
      </c>
      <c r="F1126" s="14"/>
    </row>
    <row r="1127" s="1" customFormat="1" ht="18.75" spans="1:6">
      <c r="A1127" s="14"/>
      <c r="B1127" s="54" t="s">
        <v>873</v>
      </c>
      <c r="C1127" s="14"/>
      <c r="D1127" s="14"/>
      <c r="E1127" s="14"/>
      <c r="F1127" s="14"/>
    </row>
    <row r="1128" s="1" customFormat="1" ht="37.5" spans="1:6">
      <c r="A1128" s="14"/>
      <c r="B1128" s="54" t="s">
        <v>890</v>
      </c>
      <c r="C1128" s="14"/>
      <c r="D1128" s="14"/>
      <c r="E1128" s="14"/>
      <c r="F1128" s="14"/>
    </row>
    <row r="1129" s="1" customFormat="1" ht="56.25" spans="1:6">
      <c r="A1129" s="14"/>
      <c r="B1129" s="54" t="s">
        <v>891</v>
      </c>
      <c r="C1129" s="14"/>
      <c r="D1129" s="14"/>
      <c r="E1129" s="14"/>
      <c r="F1129" s="14"/>
    </row>
    <row r="1130" s="1" customFormat="1" ht="18.75" spans="1:6">
      <c r="A1130" s="14"/>
      <c r="B1130" s="54" t="s">
        <v>885</v>
      </c>
      <c r="C1130" s="14"/>
      <c r="D1130" s="14"/>
      <c r="E1130" s="14"/>
      <c r="F1130" s="14"/>
    </row>
    <row r="1131" s="1" customFormat="1" ht="37.5" spans="1:6">
      <c r="A1131" s="14"/>
      <c r="B1131" s="54" t="s">
        <v>892</v>
      </c>
      <c r="C1131" s="14">
        <v>4</v>
      </c>
      <c r="D1131" s="14"/>
      <c r="E1131" s="14">
        <v>4</v>
      </c>
      <c r="F1131" s="14"/>
    </row>
    <row r="1132" s="1" customFormat="1" ht="18.75" spans="1:6">
      <c r="A1132" s="14"/>
      <c r="B1132" s="54" t="s">
        <v>873</v>
      </c>
      <c r="C1132" s="14"/>
      <c r="D1132" s="14"/>
      <c r="E1132" s="14"/>
      <c r="F1132" s="14"/>
    </row>
    <row r="1133" s="1" customFormat="1" ht="37.5" spans="1:6">
      <c r="A1133" s="14"/>
      <c r="B1133" s="54" t="s">
        <v>893</v>
      </c>
      <c r="C1133" s="14"/>
      <c r="D1133" s="14"/>
      <c r="E1133" s="14"/>
      <c r="F1133" s="14"/>
    </row>
    <row r="1134" s="1" customFormat="1" ht="37.5" spans="1:6">
      <c r="A1134" s="14"/>
      <c r="B1134" s="54" t="s">
        <v>894</v>
      </c>
      <c r="C1134" s="14"/>
      <c r="D1134" s="14"/>
      <c r="E1134" s="14"/>
      <c r="F1134" s="14"/>
    </row>
    <row r="1135" s="1" customFormat="1" ht="18.75" spans="1:6">
      <c r="A1135" s="14"/>
      <c r="B1135" s="54" t="s">
        <v>885</v>
      </c>
      <c r="C1135" s="14"/>
      <c r="D1135" s="14"/>
      <c r="E1135" s="14"/>
      <c r="F1135" s="14"/>
    </row>
    <row r="1136" s="1" customFormat="1" ht="37.5" spans="1:6">
      <c r="A1136" s="14"/>
      <c r="B1136" s="54" t="s">
        <v>895</v>
      </c>
      <c r="C1136" s="14">
        <v>4</v>
      </c>
      <c r="D1136" s="14"/>
      <c r="E1136" s="14">
        <v>4</v>
      </c>
      <c r="F1136" s="14"/>
    </row>
    <row r="1137" s="1" customFormat="1" ht="18.75" spans="1:6">
      <c r="A1137" s="14"/>
      <c r="B1137" s="57" t="s">
        <v>896</v>
      </c>
      <c r="C1137" s="14"/>
      <c r="D1137" s="14"/>
      <c r="E1137" s="14"/>
      <c r="F1137" s="14"/>
    </row>
    <row r="1138" s="1" customFormat="1" ht="37.5" spans="1:6">
      <c r="A1138" s="14"/>
      <c r="B1138" s="57" t="s">
        <v>897</v>
      </c>
      <c r="C1138" s="14"/>
      <c r="D1138" s="14"/>
      <c r="E1138" s="14"/>
      <c r="F1138" s="14"/>
    </row>
    <row r="1139" s="1" customFormat="1" ht="37.5" spans="1:6">
      <c r="A1139" s="14"/>
      <c r="B1139" s="57" t="s">
        <v>898</v>
      </c>
      <c r="C1139" s="14"/>
      <c r="D1139" s="14"/>
      <c r="E1139" s="14"/>
      <c r="F1139" s="14"/>
    </row>
    <row r="1140" s="1" customFormat="1" ht="37.5" spans="1:6">
      <c r="A1140" s="14"/>
      <c r="B1140" s="57" t="s">
        <v>899</v>
      </c>
      <c r="C1140" s="14"/>
      <c r="D1140" s="14"/>
      <c r="E1140" s="14"/>
      <c r="F1140" s="14"/>
    </row>
    <row r="1141" s="1" customFormat="1" ht="18.75" spans="1:6">
      <c r="A1141" s="14"/>
      <c r="B1141" s="57" t="s">
        <v>900</v>
      </c>
      <c r="C1141" s="14"/>
      <c r="D1141" s="14"/>
      <c r="E1141" s="14"/>
      <c r="F1141" s="14"/>
    </row>
    <row r="1142" s="1" customFormat="1" ht="18.75" spans="1:6">
      <c r="A1142" s="14"/>
      <c r="B1142" s="54" t="s">
        <v>901</v>
      </c>
      <c r="C1142" s="14">
        <v>3</v>
      </c>
      <c r="D1142" s="14"/>
      <c r="E1142" s="14">
        <v>2</v>
      </c>
      <c r="F1142" s="14">
        <v>1</v>
      </c>
    </row>
    <row r="1143" s="1" customFormat="1" ht="18.75" spans="1:6">
      <c r="A1143" s="10"/>
      <c r="B1143" s="10" t="s">
        <v>69</v>
      </c>
      <c r="C1143" s="10">
        <f t="shared" ref="C1143:F1143" si="87">SUM(C1077,C1104)</f>
        <v>73</v>
      </c>
      <c r="D1143" s="10">
        <f t="shared" si="87"/>
        <v>40</v>
      </c>
      <c r="E1143" s="10">
        <f t="shared" si="87"/>
        <v>30</v>
      </c>
      <c r="F1143" s="10">
        <f t="shared" si="87"/>
        <v>3</v>
      </c>
    </row>
    <row r="1144" s="1" customFormat="1" ht="31.2" customHeight="1" spans="1:6">
      <c r="B1144" s="79" t="s">
        <v>827</v>
      </c>
      <c r="C1144" s="79"/>
      <c r="D1144" s="79"/>
      <c r="E1144" s="79"/>
      <c r="F1144" s="79"/>
    </row>
    <row r="1145" s="1" customFormat="1" ht="18.75" spans="1:6">
      <c r="A1145" s="2" t="s">
        <v>902</v>
      </c>
      <c r="B1145" s="31" t="str">
        <f>VLOOKUP(A1145,$A$7:$B$50,2,FALSE)</f>
        <v>Dược lâm sàng</v>
      </c>
    </row>
    <row r="1146" s="1" customFormat="1" ht="18.75" spans="1:6">
      <c r="A1146" s="46" t="s">
        <v>79</v>
      </c>
      <c r="B1146" s="46" t="s">
        <v>80</v>
      </c>
      <c r="C1146" s="46" t="s">
        <v>81</v>
      </c>
      <c r="D1146" s="46"/>
      <c r="E1146" s="46"/>
      <c r="F1146" s="46"/>
    </row>
    <row r="1147" s="1" customFormat="1" ht="75" spans="1:6">
      <c r="A1147" s="47"/>
      <c r="B1147" s="47"/>
      <c r="C1147" s="47" t="s">
        <v>7</v>
      </c>
      <c r="D1147" s="47" t="s">
        <v>9</v>
      </c>
      <c r="E1147" s="47" t="s">
        <v>82</v>
      </c>
      <c r="F1147" s="47" t="s">
        <v>11</v>
      </c>
    </row>
    <row r="1148" s="1" customFormat="1" ht="37.5" spans="1:6">
      <c r="A1148" s="41">
        <v>1</v>
      </c>
      <c r="B1148" s="57" t="s">
        <v>903</v>
      </c>
      <c r="C1148" s="56">
        <v>5</v>
      </c>
      <c r="D1148" s="56">
        <v>5</v>
      </c>
      <c r="E1148" s="41"/>
      <c r="F1148" s="41"/>
    </row>
    <row r="1149" s="1" customFormat="1" ht="18.75" spans="1:6">
      <c r="A1149" s="41"/>
      <c r="B1149" s="57" t="s">
        <v>904</v>
      </c>
      <c r="C1149" s="56"/>
      <c r="D1149" s="56"/>
      <c r="E1149" s="41"/>
      <c r="F1149" s="41"/>
    </row>
    <row r="1150" s="1" customFormat="1" ht="18.75" spans="1:6">
      <c r="A1150" s="41"/>
      <c r="B1150" s="57" t="s">
        <v>905</v>
      </c>
      <c r="C1150" s="56"/>
      <c r="D1150" s="56"/>
      <c r="E1150" s="41"/>
      <c r="F1150" s="41"/>
    </row>
    <row r="1151" s="1" customFormat="1" ht="18.75" spans="1:6">
      <c r="A1151" s="41"/>
      <c r="B1151" s="57" t="s">
        <v>906</v>
      </c>
      <c r="C1151" s="56"/>
      <c r="D1151" s="56"/>
      <c r="E1151" s="41"/>
      <c r="F1151" s="41"/>
    </row>
    <row r="1152" s="1" customFormat="1" ht="18.75" spans="1:6">
      <c r="A1152" s="41"/>
      <c r="B1152" s="57" t="s">
        <v>907</v>
      </c>
      <c r="C1152" s="56"/>
      <c r="D1152" s="56"/>
      <c r="E1152" s="41"/>
      <c r="F1152" s="41"/>
    </row>
    <row r="1153" s="1" customFormat="1" ht="18.75" spans="1:6">
      <c r="A1153" s="41">
        <v>2</v>
      </c>
      <c r="B1153" s="57" t="s">
        <v>908</v>
      </c>
      <c r="C1153" s="56">
        <v>4</v>
      </c>
      <c r="D1153" s="56">
        <v>4</v>
      </c>
      <c r="E1153" s="76"/>
      <c r="F1153" s="41"/>
    </row>
    <row r="1154" s="1" customFormat="1" ht="18.75" spans="1:6">
      <c r="A1154" s="41"/>
      <c r="B1154" s="57" t="s">
        <v>909</v>
      </c>
      <c r="C1154" s="56"/>
      <c r="D1154" s="56"/>
      <c r="E1154" s="76"/>
      <c r="F1154" s="41"/>
    </row>
    <row r="1155" s="1" customFormat="1" ht="37.5" spans="1:6">
      <c r="A1155" s="41"/>
      <c r="B1155" s="57" t="s">
        <v>910</v>
      </c>
      <c r="C1155" s="56"/>
      <c r="D1155" s="56"/>
      <c r="E1155" s="76"/>
      <c r="F1155" s="41"/>
    </row>
    <row r="1156" s="1" customFormat="1" ht="37.5" spans="1:6">
      <c r="A1156" s="41"/>
      <c r="B1156" s="57" t="s">
        <v>911</v>
      </c>
      <c r="C1156" s="56"/>
      <c r="D1156" s="56"/>
      <c r="E1156" s="76"/>
      <c r="F1156" s="41"/>
    </row>
    <row r="1157" s="1" customFormat="1" ht="37.5" spans="1:6">
      <c r="A1157" s="41">
        <v>3</v>
      </c>
      <c r="B1157" s="57" t="s">
        <v>912</v>
      </c>
      <c r="C1157" s="56">
        <v>4</v>
      </c>
      <c r="D1157" s="56">
        <v>4</v>
      </c>
      <c r="E1157" s="41"/>
      <c r="F1157" s="41"/>
    </row>
    <row r="1158" s="1" customFormat="1" ht="18.75" spans="1:6">
      <c r="A1158" s="41"/>
      <c r="B1158" s="57" t="s">
        <v>913</v>
      </c>
      <c r="C1158" s="56"/>
      <c r="D1158" s="56"/>
      <c r="E1158" s="41"/>
      <c r="F1158" s="41"/>
    </row>
    <row r="1159" s="1" customFormat="1" ht="18.75" spans="1:6">
      <c r="A1159" s="41"/>
      <c r="B1159" s="57" t="s">
        <v>914</v>
      </c>
      <c r="C1159" s="56"/>
      <c r="D1159" s="56"/>
      <c r="E1159" s="41"/>
      <c r="F1159" s="41"/>
    </row>
    <row r="1160" s="1" customFormat="1" ht="18.75" spans="1:6">
      <c r="A1160" s="41">
        <v>4</v>
      </c>
      <c r="B1160" s="57" t="s">
        <v>915</v>
      </c>
      <c r="C1160" s="56">
        <v>2</v>
      </c>
      <c r="D1160" s="56">
        <v>2</v>
      </c>
      <c r="E1160" s="41"/>
      <c r="F1160" s="41"/>
    </row>
    <row r="1161" s="1" customFormat="1" ht="18.75" spans="1:6">
      <c r="A1161" s="41"/>
      <c r="B1161" s="57" t="s">
        <v>916</v>
      </c>
      <c r="C1161" s="56"/>
      <c r="D1161" s="56"/>
      <c r="E1161" s="41"/>
      <c r="F1161" s="41"/>
    </row>
    <row r="1162" s="1" customFormat="1" ht="18.75" spans="1:6">
      <c r="A1162" s="41"/>
      <c r="B1162" s="57" t="s">
        <v>917</v>
      </c>
      <c r="C1162" s="56"/>
      <c r="D1162" s="56"/>
      <c r="E1162" s="41"/>
      <c r="F1162" s="41"/>
    </row>
    <row r="1163" s="1" customFormat="1" ht="18.75" spans="1:6">
      <c r="A1163" s="41"/>
      <c r="B1163" s="57" t="s">
        <v>918</v>
      </c>
      <c r="C1163" s="56"/>
      <c r="D1163" s="56"/>
      <c r="E1163" s="41"/>
      <c r="F1163" s="41"/>
    </row>
    <row r="1164" s="1" customFormat="1" ht="37.5" spans="1:6">
      <c r="A1164" s="41">
        <v>5</v>
      </c>
      <c r="B1164" s="57" t="s">
        <v>919</v>
      </c>
      <c r="C1164" s="56">
        <v>4</v>
      </c>
      <c r="D1164" s="56">
        <v>4</v>
      </c>
      <c r="E1164" s="41"/>
      <c r="F1164" s="41"/>
    </row>
    <row r="1165" s="1" customFormat="1" ht="37.5" spans="1:6">
      <c r="A1165" s="41"/>
      <c r="B1165" s="57" t="s">
        <v>920</v>
      </c>
      <c r="C1165" s="56"/>
      <c r="D1165" s="56"/>
      <c r="E1165" s="41"/>
      <c r="F1165" s="41"/>
    </row>
    <row r="1166" s="1" customFormat="1" ht="18.75" spans="1:6">
      <c r="A1166" s="41"/>
      <c r="B1166" s="57" t="s">
        <v>921</v>
      </c>
      <c r="C1166" s="56"/>
      <c r="D1166" s="56"/>
      <c r="E1166" s="41"/>
      <c r="F1166" s="41"/>
    </row>
    <row r="1167" s="1" customFormat="1" ht="37.5" spans="1:6">
      <c r="A1167" s="41"/>
      <c r="B1167" s="57" t="s">
        <v>922</v>
      </c>
      <c r="C1167" s="56"/>
      <c r="D1167" s="56"/>
      <c r="E1167" s="41"/>
      <c r="F1167" s="41"/>
    </row>
    <row r="1168" s="1" customFormat="1" ht="18.75" spans="1:6">
      <c r="A1168" s="41"/>
      <c r="B1168" s="57" t="s">
        <v>923</v>
      </c>
      <c r="C1168" s="56"/>
      <c r="D1168" s="56"/>
      <c r="E1168" s="41"/>
      <c r="F1168" s="41"/>
    </row>
    <row r="1169" s="1" customFormat="1" ht="37.5" spans="1:6">
      <c r="A1169" s="41">
        <v>6</v>
      </c>
      <c r="B1169" s="57" t="s">
        <v>924</v>
      </c>
      <c r="C1169" s="56">
        <v>2</v>
      </c>
      <c r="D1169" s="56">
        <v>2</v>
      </c>
      <c r="E1169" s="41"/>
      <c r="F1169" s="41"/>
    </row>
    <row r="1170" s="1" customFormat="1" ht="37.5" spans="1:6">
      <c r="A1170" s="41"/>
      <c r="B1170" s="57" t="s">
        <v>925</v>
      </c>
      <c r="C1170" s="56"/>
      <c r="D1170" s="56"/>
      <c r="E1170" s="41"/>
      <c r="F1170" s="41"/>
    </row>
    <row r="1171" s="1" customFormat="1" ht="18.75" spans="1:6">
      <c r="A1171" s="41"/>
      <c r="B1171" s="57" t="s">
        <v>926</v>
      </c>
      <c r="C1171" s="56"/>
      <c r="D1171" s="56"/>
      <c r="E1171" s="41"/>
      <c r="F1171" s="41"/>
    </row>
    <row r="1172" s="1" customFormat="1" ht="18.75" spans="1:6">
      <c r="A1172" s="41"/>
      <c r="B1172" s="57" t="s">
        <v>927</v>
      </c>
      <c r="C1172" s="56"/>
      <c r="D1172" s="56"/>
      <c r="E1172" s="41"/>
      <c r="F1172" s="41"/>
    </row>
    <row r="1173" s="1" customFormat="1" ht="18.75" spans="1:6">
      <c r="A1173" s="41"/>
      <c r="B1173" s="57" t="s">
        <v>928</v>
      </c>
      <c r="C1173" s="56"/>
      <c r="D1173" s="56"/>
      <c r="E1173" s="41"/>
      <c r="F1173" s="41"/>
    </row>
    <row r="1174" s="1" customFormat="1" ht="37.5" spans="1:6">
      <c r="A1174" s="41">
        <v>7</v>
      </c>
      <c r="B1174" s="57" t="s">
        <v>929</v>
      </c>
      <c r="C1174" s="56">
        <v>2</v>
      </c>
      <c r="D1174" s="56">
        <v>2</v>
      </c>
      <c r="E1174" s="41"/>
      <c r="F1174" s="41"/>
    </row>
    <row r="1175" s="1" customFormat="1" ht="37.5" spans="1:6">
      <c r="A1175" s="41"/>
      <c r="B1175" s="57" t="s">
        <v>930</v>
      </c>
      <c r="C1175" s="56"/>
      <c r="D1175" s="56"/>
      <c r="E1175" s="41"/>
      <c r="F1175" s="41"/>
    </row>
    <row r="1176" s="1" customFormat="1" ht="56.25" spans="1:6">
      <c r="A1176" s="41"/>
      <c r="B1176" s="57" t="s">
        <v>931</v>
      </c>
      <c r="C1176" s="56"/>
      <c r="D1176" s="56"/>
      <c r="E1176" s="41"/>
      <c r="F1176" s="41"/>
    </row>
    <row r="1177" s="1" customFormat="1" ht="37.5" spans="1:6">
      <c r="A1177" s="41">
        <v>8</v>
      </c>
      <c r="B1177" s="57" t="s">
        <v>932</v>
      </c>
      <c r="C1177" s="56">
        <v>3</v>
      </c>
      <c r="D1177" s="56">
        <v>3</v>
      </c>
      <c r="E1177" s="41"/>
      <c r="F1177" s="41"/>
    </row>
    <row r="1178" s="1" customFormat="1" ht="18.75" spans="1:6">
      <c r="A1178" s="41"/>
      <c r="B1178" s="57" t="s">
        <v>933</v>
      </c>
      <c r="C1178" s="56"/>
      <c r="D1178" s="56"/>
      <c r="E1178" s="41"/>
      <c r="F1178" s="41"/>
    </row>
    <row r="1179" s="1" customFormat="1" ht="18.75" spans="1:6">
      <c r="A1179" s="41"/>
      <c r="B1179" s="57" t="s">
        <v>934</v>
      </c>
      <c r="C1179" s="56"/>
      <c r="D1179" s="56"/>
      <c r="E1179" s="41"/>
      <c r="F1179" s="41"/>
    </row>
    <row r="1180" s="1" customFormat="1" ht="37.5" spans="1:6">
      <c r="A1180" s="41"/>
      <c r="B1180" s="57" t="s">
        <v>935</v>
      </c>
      <c r="C1180" s="56"/>
      <c r="D1180" s="56"/>
      <c r="E1180" s="41"/>
      <c r="F1180" s="41"/>
    </row>
    <row r="1181" s="1" customFormat="1" ht="37.5" spans="1:6">
      <c r="A1181" s="41">
        <v>9</v>
      </c>
      <c r="B1181" s="57" t="s">
        <v>936</v>
      </c>
      <c r="C1181" s="56">
        <v>1</v>
      </c>
      <c r="D1181" s="56">
        <v>1</v>
      </c>
      <c r="E1181" s="41"/>
      <c r="F1181" s="41"/>
    </row>
    <row r="1182" s="1" customFormat="1" ht="37.5" spans="1:6">
      <c r="A1182" s="41"/>
      <c r="B1182" s="57" t="s">
        <v>937</v>
      </c>
      <c r="C1182" s="56"/>
      <c r="D1182" s="56"/>
      <c r="E1182" s="41"/>
      <c r="F1182" s="41"/>
    </row>
    <row r="1183" s="1" customFormat="1" ht="37.5" spans="1:6">
      <c r="A1183" s="41"/>
      <c r="B1183" s="57" t="s">
        <v>938</v>
      </c>
      <c r="C1183" s="56"/>
      <c r="D1183" s="56"/>
      <c r="E1183" s="41"/>
      <c r="F1183" s="41"/>
    </row>
    <row r="1184" s="1" customFormat="1" ht="37.5" spans="1:6">
      <c r="A1184" s="41"/>
      <c r="B1184" s="57" t="s">
        <v>939</v>
      </c>
      <c r="C1184" s="56"/>
      <c r="D1184" s="56"/>
      <c r="E1184" s="41"/>
      <c r="F1184" s="41"/>
    </row>
    <row r="1185" s="1" customFormat="1" ht="37.5" spans="1:6">
      <c r="A1185" s="41">
        <v>10</v>
      </c>
      <c r="B1185" s="42" t="s">
        <v>940</v>
      </c>
      <c r="C1185" s="41">
        <v>1</v>
      </c>
      <c r="D1185" s="41">
        <v>1</v>
      </c>
      <c r="E1185" s="41"/>
      <c r="F1185" s="41"/>
    </row>
    <row r="1186" s="1" customFormat="1" ht="18.75" spans="1:6">
      <c r="A1186" s="41"/>
      <c r="B1186" s="42" t="s">
        <v>941</v>
      </c>
      <c r="C1186" s="41"/>
      <c r="D1186" s="41"/>
      <c r="E1186" s="41"/>
      <c r="F1186" s="41"/>
    </row>
    <row r="1187" s="1" customFormat="1" ht="37.5" spans="1:6">
      <c r="A1187" s="41"/>
      <c r="B1187" s="42" t="s">
        <v>942</v>
      </c>
      <c r="C1187" s="41"/>
      <c r="D1187" s="41"/>
      <c r="E1187" s="41"/>
      <c r="F1187" s="41"/>
    </row>
    <row r="1188" s="1" customFormat="1" ht="18.75" spans="1:6">
      <c r="A1188" s="41"/>
      <c r="B1188" s="42" t="s">
        <v>943</v>
      </c>
      <c r="C1188" s="41"/>
      <c r="D1188" s="41"/>
      <c r="E1188" s="41"/>
      <c r="F1188" s="41"/>
    </row>
    <row r="1189" s="1" customFormat="1" ht="18.75" spans="1:6">
      <c r="A1189" s="41"/>
      <c r="B1189" s="42" t="s">
        <v>944</v>
      </c>
      <c r="C1189" s="41"/>
      <c r="D1189" s="41"/>
      <c r="E1189" s="41"/>
      <c r="F1189" s="41"/>
    </row>
    <row r="1190" s="1" customFormat="1" ht="37.5" spans="1:6">
      <c r="A1190" s="41">
        <v>11</v>
      </c>
      <c r="B1190" s="42" t="s">
        <v>945</v>
      </c>
      <c r="C1190" s="41">
        <v>2</v>
      </c>
      <c r="D1190" s="41">
        <v>2</v>
      </c>
      <c r="E1190" s="41"/>
      <c r="F1190" s="41"/>
    </row>
    <row r="1191" s="1" customFormat="1" ht="18.75" spans="1:6">
      <c r="A1191" s="41"/>
      <c r="B1191" s="42" t="s">
        <v>628</v>
      </c>
      <c r="C1191" s="41"/>
      <c r="D1191" s="41"/>
      <c r="E1191" s="41"/>
      <c r="F1191" s="41"/>
    </row>
    <row r="1192" s="1" customFormat="1" ht="37.5" spans="1:6">
      <c r="A1192" s="41"/>
      <c r="B1192" s="42" t="s">
        <v>946</v>
      </c>
      <c r="C1192" s="41"/>
      <c r="D1192" s="41"/>
      <c r="E1192" s="41"/>
      <c r="F1192" s="41"/>
    </row>
    <row r="1193" s="1" customFormat="1" ht="18.75" spans="1:6">
      <c r="A1193" s="41"/>
      <c r="B1193" s="42" t="s">
        <v>947</v>
      </c>
      <c r="C1193" s="41"/>
      <c r="D1193" s="41"/>
      <c r="E1193" s="41"/>
      <c r="F1193" s="41"/>
    </row>
    <row r="1194" s="1" customFormat="1" ht="18.75" spans="1:6">
      <c r="A1194" s="41"/>
      <c r="B1194" s="42" t="s">
        <v>948</v>
      </c>
      <c r="C1194" s="41"/>
      <c r="D1194" s="41"/>
      <c r="E1194" s="41"/>
      <c r="F1194" s="41"/>
    </row>
    <row r="1195" s="1" customFormat="1" ht="18.75" spans="1:6">
      <c r="A1195" s="41"/>
      <c r="B1195" s="42" t="s">
        <v>949</v>
      </c>
      <c r="C1195" s="41"/>
      <c r="D1195" s="41"/>
      <c r="E1195" s="41"/>
      <c r="F1195" s="41"/>
    </row>
    <row r="1196" s="1" customFormat="1" ht="18.75" spans="1:6">
      <c r="A1196" s="41"/>
      <c r="B1196" s="42" t="s">
        <v>86</v>
      </c>
      <c r="C1196" s="41">
        <v>2</v>
      </c>
      <c r="D1196" s="41"/>
      <c r="E1196" s="41"/>
      <c r="F1196" s="41">
        <v>2</v>
      </c>
    </row>
    <row r="1197" s="1" customFormat="1" ht="18.75" spans="1:6">
      <c r="A1197" s="6"/>
      <c r="B1197" s="6" t="s">
        <v>69</v>
      </c>
      <c r="C1197" s="6">
        <f t="shared" ref="C1197:F1197" si="88">SUM(C1148:C1196)</f>
        <v>32</v>
      </c>
      <c r="D1197" s="6">
        <f t="shared" si="88"/>
        <v>30</v>
      </c>
      <c r="E1197" s="6"/>
      <c r="F1197" s="6">
        <f t="shared" si="88"/>
        <v>2</v>
      </c>
    </row>
    <row r="1198" s="1" customFormat="1" ht="45.75" customHeight="1" spans="1:6">
      <c r="B1198" s="79" t="s">
        <v>827</v>
      </c>
      <c r="C1198" s="79"/>
      <c r="D1198" s="79"/>
      <c r="E1198" s="79"/>
      <c r="F1198" s="79"/>
    </row>
    <row r="1199" s="1" customFormat="1" ht="18.75" spans="1:6">
      <c r="A1199" s="2" t="s">
        <v>950</v>
      </c>
      <c r="B1199" s="31" t="str">
        <f>VLOOKUP(A1199,$A$7:$B$50,2,FALSE)</f>
        <v>Tiếng Anh chuyên ngành</v>
      </c>
    </row>
    <row r="1200" s="1" customFormat="1" ht="18.75" spans="1:6">
      <c r="A1200" s="46" t="s">
        <v>79</v>
      </c>
      <c r="B1200" s="46" t="s">
        <v>80</v>
      </c>
      <c r="C1200" s="46" t="s">
        <v>81</v>
      </c>
      <c r="D1200" s="46"/>
      <c r="E1200" s="46"/>
      <c r="F1200" s="46"/>
    </row>
    <row r="1201" s="1" customFormat="1" ht="75" spans="1:6">
      <c r="A1201" s="46"/>
      <c r="B1201" s="46"/>
      <c r="C1201" s="46" t="s">
        <v>7</v>
      </c>
      <c r="D1201" s="46" t="s">
        <v>9</v>
      </c>
      <c r="E1201" s="46" t="s">
        <v>82</v>
      </c>
      <c r="F1201" s="46" t="s">
        <v>11</v>
      </c>
    </row>
    <row r="1202" s="1" customFormat="1" ht="18.75" spans="1:6">
      <c r="A1202" s="56">
        <v>1</v>
      </c>
      <c r="B1202" s="54" t="s">
        <v>951</v>
      </c>
      <c r="C1202" s="14">
        <v>8</v>
      </c>
      <c r="D1202" s="14">
        <v>4</v>
      </c>
      <c r="E1202" s="14">
        <v>4</v>
      </c>
      <c r="F1202" s="14"/>
    </row>
    <row r="1203" s="1" customFormat="1" ht="18.75" spans="1:6">
      <c r="A1203" s="56"/>
      <c r="B1203" s="54" t="s">
        <v>952</v>
      </c>
      <c r="C1203" s="14"/>
      <c r="D1203" s="14"/>
      <c r="E1203" s="14"/>
      <c r="F1203" s="14"/>
    </row>
    <row r="1204" s="1" customFormat="1" ht="18.75" spans="1:6">
      <c r="A1204" s="56"/>
      <c r="B1204" s="54" t="s">
        <v>953</v>
      </c>
      <c r="C1204" s="14"/>
      <c r="D1204" s="14"/>
      <c r="E1204" s="14"/>
      <c r="F1204" s="14"/>
    </row>
    <row r="1205" s="1" customFormat="1" ht="18.75" spans="1:6">
      <c r="A1205" s="56"/>
      <c r="B1205" s="54" t="s">
        <v>954</v>
      </c>
      <c r="C1205" s="14"/>
      <c r="D1205" s="14"/>
      <c r="E1205" s="14"/>
      <c r="F1205" s="14"/>
    </row>
    <row r="1206" s="1" customFormat="1" ht="18.75" spans="1:6">
      <c r="A1206" s="56"/>
      <c r="B1206" s="54" t="s">
        <v>955</v>
      </c>
      <c r="C1206" s="14"/>
      <c r="D1206" s="14"/>
      <c r="E1206" s="14"/>
      <c r="F1206" s="14"/>
    </row>
    <row r="1207" s="1" customFormat="1" ht="37.5" spans="1:6">
      <c r="A1207" s="56">
        <v>2</v>
      </c>
      <c r="B1207" s="55" t="s">
        <v>956</v>
      </c>
      <c r="C1207" s="14">
        <v>8</v>
      </c>
      <c r="D1207" s="14">
        <v>3</v>
      </c>
      <c r="E1207" s="14">
        <v>5</v>
      </c>
      <c r="F1207" s="14"/>
    </row>
    <row r="1208" s="1" customFormat="1" ht="18.75" spans="1:6">
      <c r="A1208" s="56"/>
      <c r="B1208" s="55" t="s">
        <v>952</v>
      </c>
      <c r="C1208" s="14"/>
      <c r="D1208" s="14"/>
      <c r="E1208" s="14"/>
      <c r="F1208" s="14"/>
    </row>
    <row r="1209" s="1" customFormat="1" ht="18.75" spans="1:6">
      <c r="A1209" s="56"/>
      <c r="B1209" s="55" t="s">
        <v>953</v>
      </c>
      <c r="C1209" s="14"/>
      <c r="D1209" s="14"/>
      <c r="E1209" s="14"/>
      <c r="F1209" s="14"/>
    </row>
    <row r="1210" s="1" customFormat="1" ht="18.75" spans="1:6">
      <c r="A1210" s="56"/>
      <c r="B1210" s="55" t="s">
        <v>954</v>
      </c>
      <c r="C1210" s="14"/>
      <c r="D1210" s="14"/>
      <c r="E1210" s="14"/>
      <c r="F1210" s="14"/>
    </row>
    <row r="1211" s="1" customFormat="1" ht="18.75" spans="1:6">
      <c r="A1211" s="56"/>
      <c r="B1211" s="55" t="s">
        <v>955</v>
      </c>
      <c r="C1211" s="14"/>
      <c r="D1211" s="14"/>
      <c r="E1211" s="14"/>
      <c r="F1211" s="14"/>
    </row>
    <row r="1212" s="1" customFormat="1" ht="18.75" spans="1:6">
      <c r="A1212" s="56">
        <v>3</v>
      </c>
      <c r="B1212" s="55" t="s">
        <v>957</v>
      </c>
      <c r="C1212" s="14">
        <v>9</v>
      </c>
      <c r="D1212" s="14">
        <v>2</v>
      </c>
      <c r="E1212" s="14">
        <v>5</v>
      </c>
      <c r="F1212" s="14">
        <v>2</v>
      </c>
    </row>
    <row r="1213" s="1" customFormat="1" ht="18.75" spans="1:6">
      <c r="A1213" s="56"/>
      <c r="B1213" s="55" t="s">
        <v>952</v>
      </c>
      <c r="C1213" s="14"/>
      <c r="D1213" s="14"/>
      <c r="E1213" s="14"/>
      <c r="F1213" s="14"/>
    </row>
    <row r="1214" s="1" customFormat="1" ht="18.75" spans="1:6">
      <c r="A1214" s="56"/>
      <c r="B1214" s="55" t="s">
        <v>953</v>
      </c>
      <c r="C1214" s="14"/>
      <c r="D1214" s="14"/>
      <c r="E1214" s="14"/>
      <c r="F1214" s="14"/>
    </row>
    <row r="1215" s="1" customFormat="1" ht="18.75" spans="1:6">
      <c r="A1215" s="56"/>
      <c r="B1215" s="55" t="s">
        <v>954</v>
      </c>
      <c r="C1215" s="14"/>
      <c r="D1215" s="14"/>
      <c r="E1215" s="14"/>
      <c r="F1215" s="14"/>
    </row>
    <row r="1216" s="1" customFormat="1" ht="18.75" spans="1:6">
      <c r="A1216" s="56"/>
      <c r="B1216" s="55" t="s">
        <v>955</v>
      </c>
      <c r="C1216" s="14"/>
      <c r="D1216" s="14"/>
      <c r="E1216" s="14"/>
      <c r="F1216" s="14"/>
    </row>
    <row r="1217" s="1" customFormat="1" ht="18.75" spans="1:6">
      <c r="A1217" s="56">
        <v>4</v>
      </c>
      <c r="B1217" s="55" t="s">
        <v>958</v>
      </c>
      <c r="C1217" s="14">
        <v>8</v>
      </c>
      <c r="D1217" s="14">
        <v>4</v>
      </c>
      <c r="E1217" s="14">
        <v>4</v>
      </c>
      <c r="F1217" s="14"/>
    </row>
    <row r="1218" s="1" customFormat="1" ht="18.75" spans="1:6">
      <c r="A1218" s="56"/>
      <c r="B1218" s="55" t="s">
        <v>952</v>
      </c>
      <c r="C1218" s="14"/>
      <c r="D1218" s="14"/>
      <c r="E1218" s="14"/>
      <c r="F1218" s="14"/>
    </row>
    <row r="1219" s="1" customFormat="1" ht="18.75" spans="1:6">
      <c r="A1219" s="56"/>
      <c r="B1219" s="55" t="s">
        <v>953</v>
      </c>
      <c r="C1219" s="14"/>
      <c r="D1219" s="14"/>
      <c r="E1219" s="14"/>
      <c r="F1219" s="14"/>
    </row>
    <row r="1220" s="1" customFormat="1" ht="18.75" spans="1:6">
      <c r="A1220" s="56"/>
      <c r="B1220" s="55" t="s">
        <v>954</v>
      </c>
      <c r="C1220" s="14"/>
      <c r="D1220" s="14"/>
      <c r="E1220" s="14"/>
      <c r="F1220" s="14"/>
    </row>
    <row r="1221" s="1" customFormat="1" ht="18.75" spans="1:6">
      <c r="A1221" s="56"/>
      <c r="B1221" s="55" t="s">
        <v>955</v>
      </c>
      <c r="C1221" s="14"/>
      <c r="D1221" s="14"/>
      <c r="E1221" s="14"/>
      <c r="F1221" s="14"/>
    </row>
    <row r="1222" s="1" customFormat="1" ht="18.75" spans="1:6">
      <c r="A1222" s="56">
        <v>5</v>
      </c>
      <c r="B1222" s="55" t="s">
        <v>959</v>
      </c>
      <c r="C1222" s="14">
        <v>8</v>
      </c>
      <c r="D1222" s="14">
        <v>3</v>
      </c>
      <c r="E1222" s="14">
        <v>5</v>
      </c>
      <c r="F1222" s="14"/>
    </row>
    <row r="1223" s="1" customFormat="1" ht="18.75" spans="1:6">
      <c r="A1223" s="56"/>
      <c r="B1223" s="55" t="s">
        <v>952</v>
      </c>
      <c r="C1223" s="14"/>
      <c r="D1223" s="14"/>
      <c r="E1223" s="14"/>
      <c r="F1223" s="14"/>
    </row>
    <row r="1224" s="1" customFormat="1" ht="18.75" spans="1:6">
      <c r="A1224" s="56"/>
      <c r="B1224" s="55" t="s">
        <v>953</v>
      </c>
      <c r="C1224" s="14"/>
      <c r="D1224" s="14"/>
      <c r="E1224" s="14"/>
      <c r="F1224" s="14"/>
    </row>
    <row r="1225" s="1" customFormat="1" ht="18.75" spans="1:6">
      <c r="A1225" s="56"/>
      <c r="B1225" s="55" t="s">
        <v>954</v>
      </c>
      <c r="C1225" s="14"/>
      <c r="D1225" s="14"/>
      <c r="E1225" s="14"/>
      <c r="F1225" s="14"/>
    </row>
    <row r="1226" s="1" customFormat="1" ht="18.75" spans="1:6">
      <c r="A1226" s="56"/>
      <c r="B1226" s="55" t="s">
        <v>955</v>
      </c>
      <c r="C1226" s="14"/>
      <c r="D1226" s="14"/>
      <c r="E1226" s="14"/>
      <c r="F1226" s="14"/>
    </row>
    <row r="1227" s="1" customFormat="1" ht="18.75" spans="1:6">
      <c r="A1227" s="56">
        <v>6</v>
      </c>
      <c r="B1227" s="55" t="s">
        <v>960</v>
      </c>
      <c r="C1227" s="14">
        <v>9</v>
      </c>
      <c r="D1227" s="14">
        <v>2</v>
      </c>
      <c r="E1227" s="14">
        <v>5</v>
      </c>
      <c r="F1227" s="14">
        <v>2</v>
      </c>
    </row>
    <row r="1228" s="1" customFormat="1" ht="18.75" spans="1:6">
      <c r="A1228" s="56"/>
      <c r="B1228" s="55" t="s">
        <v>952</v>
      </c>
      <c r="C1228" s="14"/>
      <c r="D1228" s="14"/>
      <c r="E1228" s="14"/>
      <c r="F1228" s="14"/>
    </row>
    <row r="1229" s="1" customFormat="1" ht="18.75" spans="1:6">
      <c r="A1229" s="56"/>
      <c r="B1229" s="55" t="s">
        <v>953</v>
      </c>
      <c r="C1229" s="14"/>
      <c r="D1229" s="14"/>
      <c r="E1229" s="14"/>
      <c r="F1229" s="14"/>
    </row>
    <row r="1230" s="1" customFormat="1" ht="18.75" spans="1:6">
      <c r="A1230" s="56"/>
      <c r="B1230" s="55" t="s">
        <v>954</v>
      </c>
      <c r="C1230" s="14"/>
      <c r="D1230" s="14"/>
      <c r="E1230" s="14"/>
      <c r="F1230" s="14"/>
    </row>
    <row r="1231" s="1" customFormat="1" ht="18.75" spans="1:6">
      <c r="A1231" s="56"/>
      <c r="B1231" s="55" t="s">
        <v>955</v>
      </c>
      <c r="C1231" s="14"/>
      <c r="D1231" s="14"/>
      <c r="E1231" s="14"/>
      <c r="F1231" s="14"/>
    </row>
    <row r="1232" s="1" customFormat="1" ht="18.75" spans="1:6">
      <c r="A1232" s="56">
        <v>7</v>
      </c>
      <c r="B1232" s="55" t="s">
        <v>961</v>
      </c>
      <c r="C1232" s="14">
        <v>8</v>
      </c>
      <c r="D1232" s="14">
        <v>4</v>
      </c>
      <c r="E1232" s="14">
        <v>4</v>
      </c>
      <c r="F1232" s="14"/>
    </row>
    <row r="1233" s="1" customFormat="1" ht="18.75" spans="1:6">
      <c r="A1233" s="56"/>
      <c r="B1233" s="55" t="s">
        <v>952</v>
      </c>
      <c r="C1233" s="14"/>
      <c r="D1233" s="14"/>
      <c r="E1233" s="14"/>
      <c r="F1233" s="14"/>
    </row>
    <row r="1234" s="1" customFormat="1" ht="18.75" spans="1:6">
      <c r="A1234" s="56"/>
      <c r="B1234" s="55" t="s">
        <v>953</v>
      </c>
      <c r="C1234" s="14"/>
      <c r="D1234" s="14"/>
      <c r="E1234" s="14"/>
      <c r="F1234" s="14"/>
    </row>
    <row r="1235" s="1" customFormat="1" ht="18.75" spans="1:6">
      <c r="A1235" s="56"/>
      <c r="B1235" s="55" t="s">
        <v>954</v>
      </c>
      <c r="C1235" s="14"/>
      <c r="D1235" s="14"/>
      <c r="E1235" s="14"/>
      <c r="F1235" s="14"/>
    </row>
    <row r="1236" s="1" customFormat="1" ht="18.75" spans="1:6">
      <c r="A1236" s="56"/>
      <c r="B1236" s="55" t="s">
        <v>955</v>
      </c>
      <c r="C1236" s="14"/>
      <c r="D1236" s="14"/>
      <c r="E1236" s="14"/>
      <c r="F1236" s="14"/>
    </row>
    <row r="1237" s="1" customFormat="1" ht="18.75" spans="1:6">
      <c r="A1237" s="56">
        <v>8</v>
      </c>
      <c r="B1237" s="55" t="s">
        <v>962</v>
      </c>
      <c r="C1237" s="14">
        <v>2</v>
      </c>
      <c r="D1237" s="14"/>
      <c r="E1237" s="14"/>
      <c r="F1237" s="14">
        <v>2</v>
      </c>
    </row>
    <row r="1238" s="1" customFormat="1" ht="18.75" spans="1:6">
      <c r="A1238" s="10" t="s">
        <v>69</v>
      </c>
      <c r="B1238" s="10"/>
      <c r="C1238" s="10">
        <f t="shared" ref="C1238:F1238" si="89">SUM(C1202:C1237)</f>
        <v>60</v>
      </c>
      <c r="D1238" s="10">
        <f t="shared" si="89"/>
        <v>22</v>
      </c>
      <c r="E1238" s="10">
        <f t="shared" si="89"/>
        <v>32</v>
      </c>
      <c r="F1238" s="10">
        <f t="shared" si="89"/>
        <v>6</v>
      </c>
    </row>
    <row r="1239" s="1" customFormat="1" ht="39.45" customHeight="1" spans="1:6">
      <c r="B1239" s="59" t="s">
        <v>198</v>
      </c>
      <c r="C1239" s="60"/>
      <c r="D1239" s="60"/>
      <c r="E1239" s="60"/>
      <c r="F1239" s="61"/>
    </row>
    <row r="1240" s="1" customFormat="1" ht="18.75" spans="1:6">
      <c r="A1240" s="2" t="s">
        <v>963</v>
      </c>
      <c r="B1240" s="31" t="str">
        <f>VLOOKUP(A1240,$A$7:$B$50,2,FALSE)</f>
        <v>Thực tập giai đoạn 1 (thực tập bệnh viện)</v>
      </c>
    </row>
    <row r="1241" s="1" customFormat="1" ht="18.75" spans="1:6">
      <c r="A1241" s="46" t="s">
        <v>79</v>
      </c>
      <c r="B1241" s="46" t="s">
        <v>80</v>
      </c>
      <c r="C1241" s="46" t="s">
        <v>81</v>
      </c>
      <c r="D1241" s="46"/>
      <c r="E1241" s="46"/>
      <c r="F1241" s="46"/>
    </row>
    <row r="1242" s="1" customFormat="1" ht="75" spans="1:6">
      <c r="A1242" s="46"/>
      <c r="B1242" s="46"/>
      <c r="C1242" s="46" t="s">
        <v>7</v>
      </c>
      <c r="D1242" s="46" t="s">
        <v>9</v>
      </c>
      <c r="E1242" s="46" t="s">
        <v>82</v>
      </c>
      <c r="F1242" s="46" t="s">
        <v>11</v>
      </c>
    </row>
    <row r="1243" s="1" customFormat="1" ht="37.5" spans="1:6">
      <c r="A1243" s="56">
        <v>1</v>
      </c>
      <c r="B1243" s="57" t="s">
        <v>964</v>
      </c>
      <c r="C1243" s="56">
        <v>60</v>
      </c>
      <c r="D1243" s="56"/>
      <c r="E1243" s="56">
        <v>60</v>
      </c>
      <c r="F1243" s="56"/>
    </row>
    <row r="1244" s="1" customFormat="1" ht="18.75" spans="1:6">
      <c r="A1244" s="56"/>
      <c r="B1244" s="57" t="s">
        <v>965</v>
      </c>
      <c r="C1244" s="56"/>
      <c r="D1244" s="56"/>
      <c r="E1244" s="56"/>
      <c r="F1244" s="56"/>
    </row>
    <row r="1245" s="1" customFormat="1" ht="37.5" spans="1:6">
      <c r="A1245" s="56"/>
      <c r="B1245" s="57" t="s">
        <v>966</v>
      </c>
      <c r="C1245" s="56"/>
      <c r="D1245" s="56"/>
      <c r="E1245" s="56"/>
      <c r="F1245" s="56"/>
    </row>
    <row r="1246" s="1" customFormat="1" ht="37.5" spans="1:6">
      <c r="A1246" s="56">
        <v>2</v>
      </c>
      <c r="B1246" s="57" t="s">
        <v>967</v>
      </c>
      <c r="C1246" s="56">
        <v>30</v>
      </c>
      <c r="D1246" s="8"/>
      <c r="E1246" s="56">
        <v>30</v>
      </c>
      <c r="F1246" s="8"/>
    </row>
    <row r="1247" s="1" customFormat="1" ht="37.5" spans="1:6">
      <c r="A1247" s="56"/>
      <c r="B1247" s="57" t="s">
        <v>968</v>
      </c>
      <c r="C1247" s="56"/>
      <c r="D1247" s="8"/>
      <c r="E1247" s="56"/>
      <c r="F1247" s="8"/>
    </row>
    <row r="1248" s="1" customFormat="1" ht="56.25" spans="1:6">
      <c r="A1248" s="56"/>
      <c r="B1248" s="57" t="s">
        <v>969</v>
      </c>
      <c r="C1248" s="56"/>
      <c r="D1248" s="8"/>
      <c r="E1248" s="56"/>
      <c r="F1248" s="8"/>
    </row>
    <row r="1249" s="1" customFormat="1" ht="37.5" spans="1:6">
      <c r="A1249" s="56"/>
      <c r="B1249" s="57" t="s">
        <v>970</v>
      </c>
      <c r="C1249" s="56"/>
      <c r="D1249" s="8"/>
      <c r="E1249" s="56"/>
      <c r="F1249" s="8"/>
    </row>
    <row r="1250" s="1" customFormat="1" ht="37.5" spans="1:6">
      <c r="A1250" s="56">
        <v>3</v>
      </c>
      <c r="B1250" s="57" t="s">
        <v>971</v>
      </c>
      <c r="C1250" s="56">
        <v>120</v>
      </c>
      <c r="D1250" s="56"/>
      <c r="E1250" s="56">
        <v>120</v>
      </c>
      <c r="F1250" s="56"/>
    </row>
    <row r="1251" s="1" customFormat="1" ht="18.75" spans="1:6">
      <c r="A1251" s="56"/>
      <c r="B1251" s="57" t="s">
        <v>972</v>
      </c>
      <c r="C1251" s="56"/>
      <c r="D1251" s="56"/>
      <c r="E1251" s="56"/>
      <c r="F1251" s="56"/>
    </row>
    <row r="1252" s="1" customFormat="1" ht="18.75" spans="1:6">
      <c r="A1252" s="56"/>
      <c r="B1252" s="57" t="s">
        <v>973</v>
      </c>
      <c r="C1252" s="56"/>
      <c r="D1252" s="56"/>
      <c r="E1252" s="56"/>
      <c r="F1252" s="56"/>
    </row>
    <row r="1253" s="1" customFormat="1" ht="18.75" spans="1:6">
      <c r="A1253" s="56"/>
      <c r="B1253" s="57" t="s">
        <v>974</v>
      </c>
      <c r="C1253" s="56"/>
      <c r="D1253" s="56"/>
      <c r="E1253" s="56"/>
      <c r="F1253" s="56"/>
    </row>
    <row r="1254" s="1" customFormat="1" ht="18.75" spans="1:6">
      <c r="A1254" s="56"/>
      <c r="B1254" s="57" t="s">
        <v>975</v>
      </c>
      <c r="C1254" s="56"/>
      <c r="D1254" s="56"/>
      <c r="E1254" s="56"/>
      <c r="F1254" s="56"/>
    </row>
    <row r="1255" s="1" customFormat="1" ht="37.5" spans="1:6">
      <c r="A1255" s="56">
        <v>4</v>
      </c>
      <c r="B1255" s="57" t="s">
        <v>976</v>
      </c>
      <c r="C1255" s="56">
        <v>60</v>
      </c>
      <c r="D1255" s="56"/>
      <c r="E1255" s="56">
        <v>60</v>
      </c>
      <c r="F1255" s="56"/>
    </row>
    <row r="1256" s="1" customFormat="1" ht="18.75" spans="1:6">
      <c r="A1256" s="56"/>
      <c r="B1256" s="57" t="s">
        <v>977</v>
      </c>
      <c r="C1256" s="56"/>
      <c r="D1256" s="56"/>
      <c r="E1256" s="56"/>
      <c r="F1256" s="56"/>
    </row>
    <row r="1257" s="1" customFormat="1" ht="18.75" spans="1:6">
      <c r="A1257" s="56"/>
      <c r="B1257" s="57" t="s">
        <v>978</v>
      </c>
      <c r="C1257" s="56"/>
      <c r="D1257" s="56"/>
      <c r="E1257" s="56"/>
      <c r="F1257" s="56"/>
    </row>
    <row r="1258" s="1" customFormat="1" ht="18.75" spans="1:6">
      <c r="A1258" s="56"/>
      <c r="B1258" s="57" t="s">
        <v>979</v>
      </c>
      <c r="C1258" s="56"/>
      <c r="D1258" s="56"/>
      <c r="E1258" s="56"/>
      <c r="F1258" s="56"/>
    </row>
    <row r="1259" s="1" customFormat="1" ht="18.75" spans="1:6">
      <c r="A1259" s="56"/>
      <c r="B1259" s="57" t="s">
        <v>980</v>
      </c>
      <c r="C1259" s="56">
        <v>10</v>
      </c>
      <c r="D1259" s="56"/>
      <c r="E1259" s="56"/>
      <c r="F1259" s="56">
        <v>10</v>
      </c>
    </row>
    <row r="1260" s="1" customFormat="1" ht="18.75" spans="1:6">
      <c r="A1260" s="56"/>
      <c r="B1260" s="8" t="s">
        <v>69</v>
      </c>
      <c r="C1260" s="8">
        <f t="shared" ref="C1260:F1260" si="90">SUM(C1243:C1259)</f>
        <v>280</v>
      </c>
      <c r="D1260" s="8"/>
      <c r="E1260" s="8">
        <f t="shared" si="90"/>
        <v>270</v>
      </c>
      <c r="F1260" s="8">
        <f t="shared" si="90"/>
        <v>10</v>
      </c>
    </row>
    <row r="1261" s="1" customFormat="1" ht="45.45" customHeight="1" spans="1:6">
      <c r="B1261" s="90" t="s">
        <v>981</v>
      </c>
      <c r="C1261" s="90"/>
      <c r="D1261" s="90"/>
      <c r="E1261" s="90"/>
      <c r="F1261" s="90"/>
    </row>
    <row r="1262" s="1" customFormat="1" ht="18.75" spans="1:6">
      <c r="A1262" s="2" t="s">
        <v>982</v>
      </c>
      <c r="B1262" s="31" t="str">
        <f>VLOOKUP(A1262,$A$7:$B$50,2,FALSE)</f>
        <v>Pháp chế dược</v>
      </c>
    </row>
    <row r="1263" s="1" customFormat="1" ht="18.75" spans="1:6">
      <c r="A1263" s="46" t="s">
        <v>79</v>
      </c>
      <c r="B1263" s="46" t="s">
        <v>80</v>
      </c>
      <c r="C1263" s="46" t="s">
        <v>81</v>
      </c>
      <c r="D1263" s="46"/>
      <c r="E1263" s="46"/>
      <c r="F1263" s="46"/>
    </row>
    <row r="1264" s="1" customFormat="1" ht="75" spans="1:6">
      <c r="A1264" s="47"/>
      <c r="B1264" s="47"/>
      <c r="C1264" s="47" t="s">
        <v>7</v>
      </c>
      <c r="D1264" s="47" t="s">
        <v>9</v>
      </c>
      <c r="E1264" s="47" t="s">
        <v>82</v>
      </c>
      <c r="F1264" s="47" t="s">
        <v>11</v>
      </c>
    </row>
    <row r="1265" s="1" customFormat="1" ht="56.25" spans="1:6">
      <c r="A1265" s="56">
        <v>1</v>
      </c>
      <c r="B1265" s="57" t="s">
        <v>983</v>
      </c>
      <c r="C1265" s="56">
        <v>4</v>
      </c>
      <c r="D1265" s="56">
        <v>4</v>
      </c>
      <c r="E1265" s="56"/>
      <c r="F1265" s="56"/>
    </row>
    <row r="1266" s="1" customFormat="1" ht="37.5" spans="1:6">
      <c r="A1266" s="56"/>
      <c r="B1266" s="42" t="s">
        <v>984</v>
      </c>
      <c r="C1266" s="56"/>
      <c r="D1266" s="56"/>
      <c r="E1266" s="56"/>
      <c r="F1266" s="56"/>
    </row>
    <row r="1267" s="1" customFormat="1" ht="18.75" spans="1:6">
      <c r="A1267" s="56"/>
      <c r="B1267" s="57" t="s">
        <v>985</v>
      </c>
      <c r="C1267" s="56"/>
      <c r="D1267" s="56"/>
      <c r="E1267" s="56"/>
      <c r="F1267" s="56"/>
    </row>
    <row r="1268" s="1" customFormat="1" ht="75" spans="1:6">
      <c r="A1268" s="56">
        <v>2</v>
      </c>
      <c r="B1268" s="57" t="s">
        <v>986</v>
      </c>
      <c r="C1268" s="56">
        <v>4</v>
      </c>
      <c r="D1268" s="56">
        <v>4</v>
      </c>
      <c r="E1268" s="56"/>
      <c r="F1268" s="56"/>
    </row>
    <row r="1269" s="1" customFormat="1" ht="18.75" spans="1:6">
      <c r="A1269" s="56"/>
      <c r="B1269" s="57" t="s">
        <v>987</v>
      </c>
      <c r="C1269" s="56"/>
      <c r="D1269" s="56"/>
      <c r="E1269" s="56"/>
      <c r="F1269" s="56"/>
    </row>
    <row r="1270" s="1" customFormat="1" ht="37.5" spans="1:6">
      <c r="A1270" s="56"/>
      <c r="B1270" s="57" t="s">
        <v>988</v>
      </c>
      <c r="C1270" s="56"/>
      <c r="D1270" s="56"/>
      <c r="E1270" s="56"/>
      <c r="F1270" s="56"/>
    </row>
    <row r="1271" s="1" customFormat="1" ht="37.5" spans="1:6">
      <c r="A1271" s="56"/>
      <c r="B1271" s="57" t="s">
        <v>989</v>
      </c>
      <c r="C1271" s="56"/>
      <c r="D1271" s="56"/>
      <c r="E1271" s="56"/>
      <c r="F1271" s="56"/>
    </row>
    <row r="1272" s="1" customFormat="1" ht="37.5" spans="1:6">
      <c r="A1272" s="56">
        <v>3</v>
      </c>
      <c r="B1272" s="57" t="s">
        <v>990</v>
      </c>
      <c r="C1272" s="56">
        <v>4</v>
      </c>
      <c r="D1272" s="56">
        <v>4</v>
      </c>
      <c r="E1272" s="56"/>
      <c r="F1272" s="56"/>
    </row>
    <row r="1273" s="1" customFormat="1" ht="18.75" spans="1:6">
      <c r="A1273" s="56"/>
      <c r="B1273" s="57" t="s">
        <v>987</v>
      </c>
      <c r="C1273" s="56"/>
      <c r="D1273" s="56"/>
      <c r="E1273" s="56"/>
      <c r="F1273" s="56"/>
    </row>
    <row r="1274" s="1" customFormat="1" ht="18.75" spans="1:6">
      <c r="A1274" s="56"/>
      <c r="B1274" s="57" t="s">
        <v>991</v>
      </c>
      <c r="C1274" s="56"/>
      <c r="D1274" s="56"/>
      <c r="E1274" s="56"/>
      <c r="F1274" s="56"/>
    </row>
    <row r="1275" s="1" customFormat="1" ht="56.25" spans="1:6">
      <c r="A1275" s="56"/>
      <c r="B1275" s="57" t="s">
        <v>992</v>
      </c>
      <c r="C1275" s="56"/>
      <c r="D1275" s="56"/>
      <c r="E1275" s="56"/>
      <c r="F1275" s="56"/>
    </row>
    <row r="1276" s="1" customFormat="1" ht="18.75" spans="1:6">
      <c r="A1276" s="56"/>
      <c r="B1276" s="57" t="s">
        <v>993</v>
      </c>
      <c r="C1276" s="56"/>
      <c r="D1276" s="56"/>
      <c r="E1276" s="56"/>
      <c r="F1276" s="56"/>
    </row>
    <row r="1277" s="1" customFormat="1" ht="37.5" spans="1:6">
      <c r="A1277" s="56"/>
      <c r="B1277" s="57" t="s">
        <v>994</v>
      </c>
      <c r="C1277" s="56"/>
      <c r="D1277" s="56"/>
      <c r="E1277" s="56"/>
      <c r="F1277" s="56"/>
    </row>
    <row r="1278" s="1" customFormat="1" ht="37.5" spans="1:6">
      <c r="A1278" s="56">
        <v>4</v>
      </c>
      <c r="B1278" s="57" t="s">
        <v>995</v>
      </c>
      <c r="C1278" s="56">
        <v>4</v>
      </c>
      <c r="D1278" s="56">
        <v>4</v>
      </c>
      <c r="E1278" s="56"/>
      <c r="F1278" s="56"/>
    </row>
    <row r="1279" s="1" customFormat="1" ht="18.75" spans="1:6">
      <c r="A1279" s="56"/>
      <c r="B1279" s="57" t="s">
        <v>987</v>
      </c>
      <c r="C1279" s="56"/>
      <c r="D1279" s="56"/>
      <c r="E1279" s="56"/>
      <c r="F1279" s="56"/>
    </row>
    <row r="1280" s="1" customFormat="1" ht="18.75" spans="1:6">
      <c r="A1280" s="56"/>
      <c r="B1280" s="57" t="s">
        <v>996</v>
      </c>
      <c r="C1280" s="56"/>
      <c r="D1280" s="56"/>
      <c r="E1280" s="56"/>
      <c r="F1280" s="56"/>
    </row>
    <row r="1281" s="1" customFormat="1" ht="18.75" spans="1:6">
      <c r="A1281" s="56">
        <v>5</v>
      </c>
      <c r="B1281" s="57" t="s">
        <v>997</v>
      </c>
      <c r="C1281" s="56">
        <v>4</v>
      </c>
      <c r="D1281" s="56">
        <v>4</v>
      </c>
      <c r="E1281" s="56"/>
      <c r="F1281" s="56"/>
    </row>
    <row r="1282" s="1" customFormat="1" ht="18.75" spans="1:6">
      <c r="A1282" s="56"/>
      <c r="B1282" s="57" t="s">
        <v>987</v>
      </c>
      <c r="C1282" s="56"/>
      <c r="D1282" s="56"/>
      <c r="E1282" s="56"/>
      <c r="F1282" s="56"/>
    </row>
    <row r="1283" s="1" customFormat="1" ht="18.75" spans="1:6">
      <c r="A1283" s="56"/>
      <c r="B1283" s="57" t="s">
        <v>998</v>
      </c>
      <c r="C1283" s="56"/>
      <c r="D1283" s="56"/>
      <c r="E1283" s="56"/>
      <c r="F1283" s="56"/>
    </row>
    <row r="1284" s="1" customFormat="1" ht="18.75" spans="1:6">
      <c r="A1284" s="56"/>
      <c r="B1284" s="57" t="s">
        <v>999</v>
      </c>
      <c r="C1284" s="56"/>
      <c r="D1284" s="56"/>
      <c r="E1284" s="56"/>
      <c r="F1284" s="56"/>
    </row>
    <row r="1285" s="1" customFormat="1" ht="37.5" spans="1:6">
      <c r="A1285" s="56"/>
      <c r="B1285" s="57" t="s">
        <v>1000</v>
      </c>
      <c r="C1285" s="56"/>
      <c r="D1285" s="56"/>
      <c r="E1285" s="56"/>
      <c r="F1285" s="56"/>
    </row>
    <row r="1286" s="1" customFormat="1" ht="37.5" spans="1:6">
      <c r="A1286" s="56">
        <v>6</v>
      </c>
      <c r="B1286" s="57" t="s">
        <v>1001</v>
      </c>
      <c r="C1286" s="56">
        <v>4</v>
      </c>
      <c r="D1286" s="56">
        <v>4</v>
      </c>
      <c r="E1286" s="56"/>
      <c r="F1286" s="56"/>
    </row>
    <row r="1287" s="1" customFormat="1" ht="18.75" spans="1:6">
      <c r="A1287" s="56"/>
      <c r="B1287" s="57" t="s">
        <v>987</v>
      </c>
      <c r="C1287" s="56"/>
      <c r="D1287" s="56"/>
      <c r="E1287" s="56"/>
      <c r="F1287" s="56"/>
    </row>
    <row r="1288" s="1" customFormat="1" ht="18.75" spans="1:6">
      <c r="A1288" s="56"/>
      <c r="B1288" s="57" t="s">
        <v>1002</v>
      </c>
      <c r="C1288" s="56"/>
      <c r="D1288" s="56"/>
      <c r="E1288" s="56"/>
      <c r="F1288" s="56"/>
    </row>
    <row r="1289" s="1" customFormat="1" ht="18.75" spans="1:6">
      <c r="A1289" s="56"/>
      <c r="B1289" s="57" t="s">
        <v>1003</v>
      </c>
      <c r="C1289" s="56"/>
      <c r="D1289" s="56"/>
      <c r="E1289" s="56"/>
      <c r="F1289" s="56"/>
    </row>
    <row r="1290" s="1" customFormat="1" ht="37.5" spans="1:6">
      <c r="A1290" s="56">
        <v>7</v>
      </c>
      <c r="B1290" s="57" t="s">
        <v>1004</v>
      </c>
      <c r="C1290" s="56">
        <v>6</v>
      </c>
      <c r="D1290" s="56">
        <v>6</v>
      </c>
      <c r="E1290" s="56"/>
      <c r="F1290" s="56"/>
    </row>
    <row r="1291" s="1" customFormat="1" ht="18.75" spans="1:6">
      <c r="A1291" s="56"/>
      <c r="B1291" s="57" t="s">
        <v>987</v>
      </c>
      <c r="C1291" s="56"/>
      <c r="D1291" s="56"/>
      <c r="E1291" s="56"/>
      <c r="F1291" s="56"/>
    </row>
    <row r="1292" s="1" customFormat="1" ht="37.5" spans="1:6">
      <c r="A1292" s="56"/>
      <c r="B1292" s="57" t="s">
        <v>1005</v>
      </c>
      <c r="C1292" s="56"/>
      <c r="D1292" s="56"/>
      <c r="E1292" s="56"/>
      <c r="F1292" s="56"/>
    </row>
    <row r="1293" s="1" customFormat="1" ht="56.25" spans="1:6">
      <c r="A1293" s="56"/>
      <c r="B1293" s="57" t="s">
        <v>1006</v>
      </c>
      <c r="C1293" s="56"/>
      <c r="D1293" s="56"/>
      <c r="E1293" s="56"/>
      <c r="F1293" s="56"/>
    </row>
    <row r="1294" s="1" customFormat="1" ht="37.5" spans="1:6">
      <c r="A1294" s="56"/>
      <c r="B1294" s="57" t="s">
        <v>1007</v>
      </c>
      <c r="C1294" s="56"/>
      <c r="D1294" s="56"/>
      <c r="E1294" s="56"/>
      <c r="F1294" s="56"/>
    </row>
    <row r="1295" s="1" customFormat="1" ht="37.5" spans="1:6">
      <c r="A1295" s="56"/>
      <c r="B1295" s="57" t="s">
        <v>1008</v>
      </c>
      <c r="C1295" s="56"/>
      <c r="D1295" s="56"/>
      <c r="E1295" s="56"/>
      <c r="F1295" s="56"/>
    </row>
    <row r="1296" s="1" customFormat="1" ht="37.5" spans="1:6">
      <c r="A1296" s="8"/>
      <c r="B1296" s="57" t="s">
        <v>1009</v>
      </c>
      <c r="C1296" s="8"/>
      <c r="D1296" s="8"/>
      <c r="E1296" s="8"/>
      <c r="F1296" s="56"/>
    </row>
    <row r="1297" s="1" customFormat="1" ht="18.75" spans="1:6">
      <c r="A1297" s="8"/>
      <c r="B1297" s="57" t="s">
        <v>494</v>
      </c>
      <c r="C1297" s="56">
        <v>2</v>
      </c>
      <c r="D1297" s="56"/>
      <c r="E1297" s="56"/>
      <c r="F1297" s="56">
        <v>2</v>
      </c>
    </row>
    <row r="1298" s="1" customFormat="1" ht="18.75" spans="1:6">
      <c r="A1298" s="8"/>
      <c r="B1298" s="69" t="s">
        <v>69</v>
      </c>
      <c r="C1298" s="8">
        <f t="shared" ref="C1298:F1298" si="91">SUM(C1265:C1297)</f>
        <v>32</v>
      </c>
      <c r="D1298" s="8">
        <f t="shared" si="91"/>
        <v>30</v>
      </c>
      <c r="E1298" s="8"/>
      <c r="F1298" s="8">
        <f t="shared" si="91"/>
        <v>2</v>
      </c>
    </row>
    <row r="1299" s="1" customFormat="1" ht="38.7" customHeight="1" spans="1:6">
      <c r="B1299" s="79" t="s">
        <v>1010</v>
      </c>
      <c r="C1299" s="79"/>
      <c r="D1299" s="79"/>
      <c r="E1299" s="79"/>
      <c r="F1299" s="79"/>
    </row>
    <row r="1300" s="1" customFormat="1" ht="18.75" spans="1:6">
      <c r="A1300" s="2" t="s">
        <v>1011</v>
      </c>
      <c r="B1300" s="31" t="str">
        <f>VLOOKUP(A1300,$A$7:$B$50,2,FALSE)</f>
        <v>Đảm bảo chất lượng thuốc</v>
      </c>
    </row>
    <row r="1301" s="1" customFormat="1" ht="18.75" spans="1:6">
      <c r="A1301" s="46" t="s">
        <v>79</v>
      </c>
      <c r="B1301" s="46" t="s">
        <v>80</v>
      </c>
      <c r="C1301" s="46" t="s">
        <v>81</v>
      </c>
      <c r="D1301" s="46"/>
      <c r="E1301" s="46"/>
      <c r="F1301" s="46"/>
    </row>
    <row r="1302" s="1" customFormat="1" ht="75" spans="1:6">
      <c r="A1302" s="47"/>
      <c r="B1302" s="47"/>
      <c r="C1302" s="47" t="s">
        <v>7</v>
      </c>
      <c r="D1302" s="47" t="s">
        <v>9</v>
      </c>
      <c r="E1302" s="47" t="s">
        <v>82</v>
      </c>
      <c r="F1302" s="47" t="s">
        <v>11</v>
      </c>
    </row>
    <row r="1303" s="1" customFormat="1" ht="37.5" spans="1:6">
      <c r="A1303" s="56">
        <v>1</v>
      </c>
      <c r="B1303" s="57" t="s">
        <v>1012</v>
      </c>
      <c r="C1303" s="56">
        <v>3</v>
      </c>
      <c r="D1303" s="56">
        <v>3</v>
      </c>
      <c r="E1303" s="56"/>
      <c r="F1303" s="56"/>
    </row>
    <row r="1304" s="1" customFormat="1" ht="37.5" spans="1:6">
      <c r="A1304" s="56"/>
      <c r="B1304" s="57" t="s">
        <v>1013</v>
      </c>
      <c r="C1304" s="56"/>
      <c r="D1304" s="56"/>
      <c r="E1304" s="56"/>
      <c r="F1304" s="56"/>
    </row>
    <row r="1305" s="1" customFormat="1" ht="18.75" spans="1:6">
      <c r="A1305" s="56"/>
      <c r="B1305" s="57" t="s">
        <v>1014</v>
      </c>
      <c r="C1305" s="56"/>
      <c r="D1305" s="56"/>
      <c r="E1305" s="56"/>
      <c r="F1305" s="56"/>
    </row>
    <row r="1306" s="1" customFormat="1" ht="37.5" spans="1:6">
      <c r="A1306" s="56">
        <v>2</v>
      </c>
      <c r="B1306" s="57" t="s">
        <v>1015</v>
      </c>
      <c r="C1306" s="56">
        <v>3</v>
      </c>
      <c r="D1306" s="56">
        <v>3</v>
      </c>
      <c r="E1306" s="56"/>
      <c r="F1306" s="56"/>
    </row>
    <row r="1307" s="1" customFormat="1" ht="37.5" spans="1:6">
      <c r="A1307" s="56"/>
      <c r="B1307" s="57" t="s">
        <v>1016</v>
      </c>
      <c r="C1307" s="56"/>
      <c r="D1307" s="56"/>
      <c r="E1307" s="56"/>
      <c r="F1307" s="56"/>
    </row>
    <row r="1308" s="1" customFormat="1" ht="75" spans="1:6">
      <c r="A1308" s="56"/>
      <c r="B1308" s="57" t="s">
        <v>1017</v>
      </c>
      <c r="C1308" s="56"/>
      <c r="D1308" s="56"/>
      <c r="E1308" s="56"/>
      <c r="F1308" s="56"/>
    </row>
    <row r="1309" s="1" customFormat="1" ht="37.5" spans="1:6">
      <c r="A1309" s="56"/>
      <c r="B1309" s="57" t="s">
        <v>1018</v>
      </c>
      <c r="C1309" s="56"/>
      <c r="D1309" s="56"/>
      <c r="E1309" s="56"/>
      <c r="F1309" s="56"/>
    </row>
    <row r="1310" s="1" customFormat="1" ht="56.25" spans="1:6">
      <c r="A1310" s="56">
        <v>3</v>
      </c>
      <c r="B1310" s="57" t="s">
        <v>1019</v>
      </c>
      <c r="C1310" s="56">
        <v>3</v>
      </c>
      <c r="D1310" s="56">
        <v>3</v>
      </c>
      <c r="E1310" s="56"/>
      <c r="F1310" s="56"/>
    </row>
    <row r="1311" s="1" customFormat="1" ht="18.75" spans="1:6">
      <c r="A1311" s="56"/>
      <c r="B1311" s="57" t="s">
        <v>1020</v>
      </c>
      <c r="C1311" s="56"/>
      <c r="D1311" s="56"/>
      <c r="E1311" s="56"/>
      <c r="F1311" s="56"/>
    </row>
    <row r="1312" s="1" customFormat="1" ht="18.75" spans="1:6">
      <c r="A1312" s="56"/>
      <c r="B1312" s="57" t="s">
        <v>1021</v>
      </c>
      <c r="C1312" s="56"/>
      <c r="D1312" s="56"/>
      <c r="E1312" s="56"/>
      <c r="F1312" s="56"/>
    </row>
    <row r="1313" s="1" customFormat="1" ht="37.5" spans="1:6">
      <c r="A1313" s="56"/>
      <c r="B1313" s="57" t="s">
        <v>1022</v>
      </c>
      <c r="C1313" s="56"/>
      <c r="D1313" s="56"/>
      <c r="E1313" s="56"/>
      <c r="F1313" s="56"/>
    </row>
    <row r="1314" s="1" customFormat="1" ht="56.25" spans="1:6">
      <c r="A1314" s="56">
        <v>4</v>
      </c>
      <c r="B1314" s="57" t="s">
        <v>1023</v>
      </c>
      <c r="C1314" s="56">
        <v>3</v>
      </c>
      <c r="D1314" s="56">
        <v>3</v>
      </c>
      <c r="E1314" s="56"/>
      <c r="F1314" s="56"/>
    </row>
    <row r="1315" s="1" customFormat="1" ht="18.75" spans="1:6">
      <c r="A1315" s="56"/>
      <c r="B1315" s="57" t="s">
        <v>1024</v>
      </c>
      <c r="C1315" s="56"/>
      <c r="D1315" s="56"/>
      <c r="E1315" s="56"/>
      <c r="F1315" s="56"/>
    </row>
    <row r="1316" s="1" customFormat="1" ht="18.75" spans="1:6">
      <c r="A1316" s="56"/>
      <c r="B1316" s="57" t="s">
        <v>1021</v>
      </c>
      <c r="C1316" s="56"/>
      <c r="D1316" s="56"/>
      <c r="E1316" s="56"/>
      <c r="F1316" s="56"/>
    </row>
    <row r="1317" s="1" customFormat="1" ht="37.5" spans="1:6">
      <c r="A1317" s="56"/>
      <c r="B1317" s="57" t="s">
        <v>1025</v>
      </c>
      <c r="C1317" s="56"/>
      <c r="D1317" s="56"/>
      <c r="E1317" s="56"/>
      <c r="F1317" s="56"/>
    </row>
    <row r="1318" s="1" customFormat="1" ht="56.25" spans="1:6">
      <c r="A1318" s="56">
        <v>5</v>
      </c>
      <c r="B1318" s="57" t="s">
        <v>1026</v>
      </c>
      <c r="C1318" s="56">
        <v>3</v>
      </c>
      <c r="D1318" s="56">
        <v>3</v>
      </c>
      <c r="E1318" s="56"/>
      <c r="F1318" s="56"/>
    </row>
    <row r="1319" s="1" customFormat="1" ht="18.75" spans="1:6">
      <c r="A1319" s="56"/>
      <c r="B1319" s="57" t="s">
        <v>788</v>
      </c>
      <c r="C1319" s="56"/>
      <c r="D1319" s="56"/>
      <c r="E1319" s="56"/>
      <c r="F1319" s="56"/>
    </row>
    <row r="1320" s="1" customFormat="1" ht="18.75" spans="1:6">
      <c r="A1320" s="56"/>
      <c r="B1320" s="57" t="s">
        <v>1021</v>
      </c>
      <c r="C1320" s="56"/>
      <c r="D1320" s="56"/>
      <c r="E1320" s="56"/>
      <c r="F1320" s="56"/>
    </row>
    <row r="1321" s="1" customFormat="1" ht="37.5" spans="1:6">
      <c r="A1321" s="56"/>
      <c r="B1321" s="57" t="s">
        <v>1027</v>
      </c>
      <c r="C1321" s="56"/>
      <c r="D1321" s="56"/>
      <c r="E1321" s="56"/>
      <c r="F1321" s="56"/>
    </row>
    <row r="1322" s="1" customFormat="1" ht="56.25" spans="1:6">
      <c r="A1322" s="56">
        <v>6</v>
      </c>
      <c r="B1322" s="57" t="s">
        <v>1028</v>
      </c>
      <c r="C1322" s="56">
        <v>4</v>
      </c>
      <c r="D1322" s="56">
        <v>4</v>
      </c>
      <c r="E1322" s="56"/>
      <c r="F1322" s="56"/>
    </row>
    <row r="1323" s="1" customFormat="1" ht="18.75" spans="1:6">
      <c r="A1323" s="56"/>
      <c r="B1323" s="57" t="s">
        <v>788</v>
      </c>
      <c r="C1323" s="56"/>
      <c r="D1323" s="56"/>
      <c r="E1323" s="56"/>
      <c r="F1323" s="56"/>
    </row>
    <row r="1324" s="1" customFormat="1" ht="18.75" spans="1:6">
      <c r="A1324" s="56"/>
      <c r="B1324" s="57" t="s">
        <v>1029</v>
      </c>
      <c r="C1324" s="56"/>
      <c r="D1324" s="56"/>
      <c r="E1324" s="56"/>
      <c r="F1324" s="56"/>
    </row>
    <row r="1325" s="1" customFormat="1" ht="18.75" spans="1:6">
      <c r="A1325" s="56"/>
      <c r="B1325" s="57" t="s">
        <v>1030</v>
      </c>
      <c r="C1325" s="56"/>
      <c r="D1325" s="56"/>
      <c r="E1325" s="56"/>
      <c r="F1325" s="56"/>
    </row>
    <row r="1326" s="1" customFormat="1" ht="37.5" spans="1:6">
      <c r="A1326" s="56"/>
      <c r="B1326" s="57" t="s">
        <v>1031</v>
      </c>
      <c r="C1326" s="56"/>
      <c r="D1326" s="56"/>
      <c r="E1326" s="56"/>
      <c r="F1326" s="56"/>
    </row>
    <row r="1327" s="1" customFormat="1" ht="56.25" spans="1:6">
      <c r="A1327" s="56">
        <v>7</v>
      </c>
      <c r="B1327" s="57" t="s">
        <v>1032</v>
      </c>
      <c r="C1327" s="56">
        <v>4</v>
      </c>
      <c r="D1327" s="56">
        <v>4</v>
      </c>
      <c r="E1327" s="56"/>
      <c r="F1327" s="56"/>
    </row>
    <row r="1328" s="1" customFormat="1" ht="18.75" spans="1:6">
      <c r="A1328" s="56"/>
      <c r="B1328" s="57" t="s">
        <v>1033</v>
      </c>
      <c r="C1328" s="56"/>
      <c r="D1328" s="56"/>
      <c r="E1328" s="56"/>
      <c r="F1328" s="56"/>
    </row>
    <row r="1329" s="1" customFormat="1" ht="18.75" spans="1:6">
      <c r="A1329" s="56"/>
      <c r="B1329" s="57" t="s">
        <v>1021</v>
      </c>
      <c r="C1329" s="56"/>
      <c r="D1329" s="56"/>
      <c r="E1329" s="56"/>
      <c r="F1329" s="56"/>
    </row>
    <row r="1330" s="1" customFormat="1" ht="18.75" spans="1:6">
      <c r="A1330" s="56"/>
      <c r="B1330" s="57" t="s">
        <v>1034</v>
      </c>
      <c r="C1330" s="56"/>
      <c r="D1330" s="56"/>
      <c r="E1330" s="56"/>
      <c r="F1330" s="56"/>
    </row>
    <row r="1331" s="1" customFormat="1" ht="37.5" spans="1:6">
      <c r="A1331" s="56"/>
      <c r="B1331" s="57" t="s">
        <v>1035</v>
      </c>
      <c r="C1331" s="56"/>
      <c r="D1331" s="56"/>
      <c r="E1331" s="56"/>
      <c r="F1331" s="56"/>
    </row>
    <row r="1332" s="1" customFormat="1" ht="37.5" spans="1:6">
      <c r="A1332" s="56">
        <v>8</v>
      </c>
      <c r="B1332" s="57" t="s">
        <v>1036</v>
      </c>
      <c r="C1332" s="56">
        <v>3</v>
      </c>
      <c r="D1332" s="56">
        <v>3</v>
      </c>
      <c r="E1332" s="56"/>
      <c r="F1332" s="56"/>
    </row>
    <row r="1333" s="1" customFormat="1" ht="37.5" spans="1:6">
      <c r="A1333" s="56"/>
      <c r="B1333" s="57" t="s">
        <v>1037</v>
      </c>
      <c r="C1333" s="56"/>
      <c r="D1333" s="56"/>
      <c r="E1333" s="56"/>
      <c r="F1333" s="56"/>
    </row>
    <row r="1334" s="1" customFormat="1" ht="37.5" spans="1:6">
      <c r="A1334" s="56"/>
      <c r="B1334" s="57" t="s">
        <v>1038</v>
      </c>
      <c r="C1334" s="56"/>
      <c r="D1334" s="56"/>
      <c r="E1334" s="56"/>
      <c r="F1334" s="56"/>
    </row>
    <row r="1335" s="1" customFormat="1" ht="37.5" spans="1:6">
      <c r="A1335" s="56"/>
      <c r="B1335" s="57" t="s">
        <v>1039</v>
      </c>
      <c r="C1335" s="56"/>
      <c r="D1335" s="56"/>
      <c r="E1335" s="56"/>
      <c r="F1335" s="56"/>
    </row>
    <row r="1336" s="1" customFormat="1" ht="56.25" spans="1:6">
      <c r="A1336" s="56">
        <v>9</v>
      </c>
      <c r="B1336" s="57" t="s">
        <v>1040</v>
      </c>
      <c r="C1336" s="56">
        <v>4</v>
      </c>
      <c r="D1336" s="56">
        <v>4</v>
      </c>
      <c r="E1336" s="56"/>
      <c r="F1336" s="56"/>
    </row>
    <row r="1337" s="1" customFormat="1" ht="37.5" spans="1:6">
      <c r="A1337" s="56"/>
      <c r="B1337" s="57" t="s">
        <v>1041</v>
      </c>
      <c r="C1337" s="56"/>
      <c r="D1337" s="56"/>
      <c r="E1337" s="56"/>
      <c r="F1337" s="56"/>
    </row>
    <row r="1338" s="1" customFormat="1" ht="37.5" spans="1:6">
      <c r="A1338" s="56"/>
      <c r="B1338" s="57" t="s">
        <v>1042</v>
      </c>
      <c r="C1338" s="56"/>
      <c r="D1338" s="56"/>
      <c r="E1338" s="56"/>
      <c r="F1338" s="56"/>
    </row>
    <row r="1339" s="1" customFormat="1" ht="18.75" spans="1:6">
      <c r="A1339" s="56"/>
      <c r="B1339" s="57" t="s">
        <v>494</v>
      </c>
      <c r="C1339" s="56">
        <v>2</v>
      </c>
      <c r="D1339" s="56"/>
      <c r="E1339" s="56"/>
      <c r="F1339" s="56">
        <v>2</v>
      </c>
    </row>
    <row r="1340" s="1" customFormat="1" ht="18.75" spans="1:6">
      <c r="A1340" s="56"/>
      <c r="B1340" s="69" t="s">
        <v>69</v>
      </c>
      <c r="C1340" s="8">
        <f t="shared" ref="C1340:F1340" si="92">SUM(C1303:C1339)</f>
        <v>32</v>
      </c>
      <c r="D1340" s="8">
        <f t="shared" si="92"/>
        <v>30</v>
      </c>
      <c r="E1340" s="8"/>
      <c r="F1340" s="8">
        <f t="shared" si="92"/>
        <v>2</v>
      </c>
    </row>
    <row r="1341" s="1" customFormat="1" ht="38.7" customHeight="1" spans="1:6">
      <c r="B1341" s="79" t="s">
        <v>1010</v>
      </c>
      <c r="C1341" s="79"/>
      <c r="D1341" s="79"/>
      <c r="E1341" s="79"/>
      <c r="F1341" s="79"/>
    </row>
    <row r="1342" s="1" customFormat="1" ht="18.75" spans="1:6">
      <c r="A1342" s="2" t="s">
        <v>1043</v>
      </c>
      <c r="B1342" s="31" t="str">
        <f>VLOOKUP(A1342,$A$7:$B$50,2,FALSE)</f>
        <v>Tổ chức quản lý và kinh tế dược</v>
      </c>
    </row>
    <row r="1343" s="1" customFormat="1" ht="18.75" spans="1:6">
      <c r="A1343" s="46" t="s">
        <v>79</v>
      </c>
      <c r="B1343" s="46" t="s">
        <v>80</v>
      </c>
      <c r="C1343" s="46" t="s">
        <v>81</v>
      </c>
      <c r="D1343" s="46"/>
      <c r="E1343" s="46"/>
      <c r="F1343" s="46"/>
    </row>
    <row r="1344" s="1" customFormat="1" ht="75" spans="1:6">
      <c r="A1344" s="47"/>
      <c r="B1344" s="47"/>
      <c r="C1344" s="47" t="s">
        <v>7</v>
      </c>
      <c r="D1344" s="47" t="s">
        <v>9</v>
      </c>
      <c r="E1344" s="47" t="s">
        <v>82</v>
      </c>
      <c r="F1344" s="47" t="s">
        <v>11</v>
      </c>
    </row>
    <row r="1345" s="1" customFormat="1" ht="18.75" spans="1:6">
      <c r="A1345" s="56">
        <v>1</v>
      </c>
      <c r="B1345" s="57" t="s">
        <v>1044</v>
      </c>
      <c r="C1345" s="56"/>
      <c r="D1345" s="56"/>
      <c r="E1345" s="56"/>
      <c r="F1345" s="56"/>
    </row>
    <row r="1346" s="1" customFormat="1" ht="56.25" spans="1:6">
      <c r="A1346" s="56"/>
      <c r="B1346" s="57" t="s">
        <v>1045</v>
      </c>
      <c r="C1346" s="56">
        <v>4</v>
      </c>
      <c r="D1346" s="56">
        <v>4</v>
      </c>
      <c r="E1346" s="56"/>
      <c r="F1346" s="56"/>
    </row>
    <row r="1347" s="1" customFormat="1" ht="18.75" spans="1:6">
      <c r="A1347" s="56"/>
      <c r="B1347" s="42" t="s">
        <v>1046</v>
      </c>
      <c r="C1347" s="56"/>
      <c r="D1347" s="56"/>
      <c r="E1347" s="56"/>
      <c r="F1347" s="56"/>
    </row>
    <row r="1348" s="1" customFormat="1" ht="18.75" spans="1:6">
      <c r="A1348" s="56"/>
      <c r="B1348" s="42" t="s">
        <v>1047</v>
      </c>
      <c r="C1348" s="56"/>
      <c r="D1348" s="56"/>
      <c r="E1348" s="56"/>
      <c r="F1348" s="56"/>
    </row>
    <row r="1349" s="1" customFormat="1" ht="37.5" spans="1:6">
      <c r="A1349" s="56"/>
      <c r="B1349" s="42" t="s">
        <v>1048</v>
      </c>
      <c r="C1349" s="56"/>
      <c r="D1349" s="56"/>
      <c r="E1349" s="56"/>
      <c r="F1349" s="56"/>
    </row>
    <row r="1350" s="1" customFormat="1" ht="37.5" spans="1:6">
      <c r="A1350" s="56"/>
      <c r="B1350" s="42" t="s">
        <v>1049</v>
      </c>
      <c r="C1350" s="56"/>
      <c r="D1350" s="56"/>
      <c r="E1350" s="56"/>
      <c r="F1350" s="56"/>
    </row>
    <row r="1351" s="1" customFormat="1" ht="37.5" spans="1:6">
      <c r="A1351" s="56"/>
      <c r="B1351" s="42" t="s">
        <v>1050</v>
      </c>
      <c r="C1351" s="56"/>
      <c r="D1351" s="56"/>
      <c r="E1351" s="56"/>
      <c r="F1351" s="56"/>
    </row>
    <row r="1352" s="1" customFormat="1" ht="18.75" spans="1:6">
      <c r="A1352" s="56"/>
      <c r="B1352" s="42" t="s">
        <v>1051</v>
      </c>
      <c r="C1352" s="56"/>
      <c r="D1352" s="56"/>
      <c r="E1352" s="56"/>
      <c r="F1352" s="56"/>
    </row>
    <row r="1353" s="1" customFormat="1" ht="37.5" spans="1:6">
      <c r="A1353" s="56">
        <v>2</v>
      </c>
      <c r="B1353" s="57" t="s">
        <v>1052</v>
      </c>
      <c r="C1353" s="56">
        <v>4</v>
      </c>
      <c r="D1353" s="56">
        <v>4</v>
      </c>
      <c r="E1353" s="56"/>
      <c r="F1353" s="56"/>
    </row>
    <row r="1354" s="1" customFormat="1" ht="37.5" spans="1:6">
      <c r="A1354" s="56"/>
      <c r="B1354" s="42" t="s">
        <v>1053</v>
      </c>
      <c r="C1354" s="56"/>
      <c r="D1354" s="56"/>
      <c r="E1354" s="56"/>
      <c r="F1354" s="56"/>
    </row>
    <row r="1355" s="1" customFormat="1" ht="37.5" spans="1:6">
      <c r="A1355" s="56"/>
      <c r="B1355" s="42" t="s">
        <v>1054</v>
      </c>
      <c r="C1355" s="56"/>
      <c r="D1355" s="56"/>
      <c r="E1355" s="56"/>
      <c r="F1355" s="56"/>
    </row>
    <row r="1356" s="1" customFormat="1" ht="18.75" spans="1:6">
      <c r="A1356" s="56"/>
      <c r="B1356" s="42" t="s">
        <v>1055</v>
      </c>
      <c r="C1356" s="56"/>
      <c r="D1356" s="56"/>
      <c r="E1356" s="56"/>
      <c r="F1356" s="56"/>
    </row>
    <row r="1357" s="1" customFormat="1" ht="37.5" spans="1:6">
      <c r="A1357" s="56">
        <v>3</v>
      </c>
      <c r="B1357" s="57" t="s">
        <v>1056</v>
      </c>
      <c r="C1357" s="56">
        <v>4</v>
      </c>
      <c r="D1357" s="56">
        <v>4</v>
      </c>
      <c r="E1357" s="56"/>
      <c r="F1357" s="56"/>
    </row>
    <row r="1358" s="1" customFormat="1" ht="18.75" spans="1:6">
      <c r="A1358" s="56"/>
      <c r="B1358" s="42" t="s">
        <v>1057</v>
      </c>
      <c r="C1358" s="56"/>
      <c r="D1358" s="56"/>
      <c r="E1358" s="56"/>
      <c r="F1358" s="56"/>
    </row>
    <row r="1359" s="1" customFormat="1" ht="37.5" spans="1:6">
      <c r="A1359" s="56"/>
      <c r="B1359" s="42" t="s">
        <v>1058</v>
      </c>
      <c r="C1359" s="56"/>
      <c r="D1359" s="56"/>
      <c r="E1359" s="56"/>
      <c r="F1359" s="56"/>
    </row>
    <row r="1360" s="1" customFormat="1" ht="37.5" spans="1:6">
      <c r="A1360" s="56"/>
      <c r="B1360" s="42" t="s">
        <v>1059</v>
      </c>
      <c r="C1360" s="56"/>
      <c r="D1360" s="56"/>
      <c r="E1360" s="56"/>
      <c r="F1360" s="56"/>
    </row>
    <row r="1361" s="1" customFormat="1" ht="37.5" spans="1:6">
      <c r="A1361" s="56"/>
      <c r="B1361" s="42" t="s">
        <v>1060</v>
      </c>
      <c r="C1361" s="56"/>
      <c r="D1361" s="56"/>
      <c r="E1361" s="56"/>
      <c r="F1361" s="56"/>
    </row>
    <row r="1362" s="1" customFormat="1" ht="18.75" spans="1:6">
      <c r="A1362" s="56">
        <v>4</v>
      </c>
      <c r="B1362" s="57" t="s">
        <v>1061</v>
      </c>
      <c r="C1362" s="56"/>
      <c r="D1362" s="56"/>
      <c r="E1362" s="56"/>
      <c r="F1362" s="56"/>
    </row>
    <row r="1363" s="1" customFormat="1" ht="37.5" spans="1:6">
      <c r="A1363" s="56"/>
      <c r="B1363" s="57" t="s">
        <v>1062</v>
      </c>
      <c r="C1363" s="56">
        <v>2</v>
      </c>
      <c r="D1363" s="56">
        <v>2</v>
      </c>
      <c r="E1363" s="56"/>
      <c r="F1363" s="56"/>
    </row>
    <row r="1364" s="1" customFormat="1" ht="18.75" spans="1:6">
      <c r="A1364" s="56"/>
      <c r="B1364" s="42" t="s">
        <v>1063</v>
      </c>
      <c r="C1364" s="56"/>
      <c r="D1364" s="56"/>
      <c r="E1364" s="56"/>
      <c r="F1364" s="56"/>
    </row>
    <row r="1365" s="1" customFormat="1" ht="18.75" spans="1:6">
      <c r="A1365" s="56"/>
      <c r="B1365" s="42" t="s">
        <v>1064</v>
      </c>
      <c r="C1365" s="56"/>
      <c r="D1365" s="56"/>
      <c r="E1365" s="56"/>
      <c r="F1365" s="56"/>
    </row>
    <row r="1366" s="1" customFormat="1" ht="37.5" spans="1:6">
      <c r="A1366" s="56"/>
      <c r="B1366" s="42" t="s">
        <v>1065</v>
      </c>
      <c r="C1366" s="56"/>
      <c r="D1366" s="56"/>
      <c r="E1366" s="56"/>
      <c r="F1366" s="56"/>
    </row>
    <row r="1367" s="1" customFormat="1" ht="18.75" spans="1:6">
      <c r="A1367" s="56"/>
      <c r="B1367" s="42" t="s">
        <v>1066</v>
      </c>
      <c r="C1367" s="56"/>
      <c r="D1367" s="56"/>
      <c r="E1367" s="56"/>
      <c r="F1367" s="56"/>
    </row>
    <row r="1368" s="1" customFormat="1" ht="37.5" spans="1:6">
      <c r="A1368" s="56"/>
      <c r="B1368" s="42" t="s">
        <v>1067</v>
      </c>
      <c r="C1368" s="56"/>
      <c r="D1368" s="56"/>
      <c r="E1368" s="56"/>
      <c r="F1368" s="56"/>
    </row>
    <row r="1369" s="1" customFormat="1" ht="37.5" spans="1:6">
      <c r="A1369" s="56"/>
      <c r="B1369" s="42" t="s">
        <v>1068</v>
      </c>
      <c r="C1369" s="56"/>
      <c r="D1369" s="56"/>
      <c r="E1369" s="56"/>
      <c r="F1369" s="56"/>
    </row>
    <row r="1370" s="1" customFormat="1" ht="18.75" spans="1:6">
      <c r="A1370" s="56">
        <v>5</v>
      </c>
      <c r="B1370" s="57" t="s">
        <v>1069</v>
      </c>
      <c r="C1370" s="56">
        <v>4</v>
      </c>
      <c r="D1370" s="56">
        <v>4</v>
      </c>
      <c r="E1370" s="56"/>
      <c r="F1370" s="56"/>
    </row>
    <row r="1371" s="1" customFormat="1" ht="37.5" spans="1:6">
      <c r="A1371" s="56"/>
      <c r="B1371" s="42" t="s">
        <v>1070</v>
      </c>
      <c r="C1371" s="56"/>
      <c r="D1371" s="56"/>
      <c r="E1371" s="56"/>
      <c r="F1371" s="56"/>
    </row>
    <row r="1372" s="1" customFormat="1" ht="18.75" spans="1:6">
      <c r="A1372" s="56"/>
      <c r="B1372" s="42" t="s">
        <v>1071</v>
      </c>
      <c r="C1372" s="56"/>
      <c r="D1372" s="56"/>
      <c r="E1372" s="56"/>
      <c r="F1372" s="56"/>
    </row>
    <row r="1373" s="1" customFormat="1" ht="18.75" spans="1:6">
      <c r="A1373" s="56"/>
      <c r="B1373" s="42" t="s">
        <v>1072</v>
      </c>
      <c r="C1373" s="56"/>
      <c r="D1373" s="56"/>
      <c r="E1373" s="56"/>
      <c r="F1373" s="56"/>
    </row>
    <row r="1374" s="1" customFormat="1" ht="37.5" spans="1:6">
      <c r="A1374" s="56">
        <v>6</v>
      </c>
      <c r="B1374" s="57" t="s">
        <v>1073</v>
      </c>
      <c r="C1374" s="56">
        <v>4</v>
      </c>
      <c r="D1374" s="56">
        <v>4</v>
      </c>
      <c r="E1374" s="56"/>
      <c r="F1374" s="56"/>
    </row>
    <row r="1375" s="1" customFormat="1" ht="37.5" spans="1:6">
      <c r="A1375" s="56"/>
      <c r="B1375" s="42" t="s">
        <v>1074</v>
      </c>
      <c r="C1375" s="56"/>
      <c r="D1375" s="56"/>
      <c r="E1375" s="56"/>
      <c r="F1375" s="56"/>
    </row>
    <row r="1376" s="1" customFormat="1" ht="18.75" spans="1:6">
      <c r="A1376" s="56"/>
      <c r="B1376" s="42" t="s">
        <v>1075</v>
      </c>
      <c r="C1376" s="56"/>
      <c r="D1376" s="56"/>
      <c r="E1376" s="56"/>
      <c r="F1376" s="56"/>
    </row>
    <row r="1377" s="1" customFormat="1" ht="18.75" spans="1:6">
      <c r="A1377" s="56"/>
      <c r="B1377" s="42" t="s">
        <v>1076</v>
      </c>
      <c r="C1377" s="56"/>
      <c r="D1377" s="56"/>
      <c r="E1377" s="56"/>
      <c r="F1377" s="56"/>
    </row>
    <row r="1378" s="1" customFormat="1" ht="18.75" spans="1:6">
      <c r="A1378" s="56"/>
      <c r="B1378" s="42" t="s">
        <v>1077</v>
      </c>
      <c r="C1378" s="56"/>
      <c r="D1378" s="56"/>
      <c r="E1378" s="56"/>
      <c r="F1378" s="56"/>
    </row>
    <row r="1379" s="1" customFormat="1" ht="18.75" spans="1:6">
      <c r="A1379" s="56"/>
      <c r="B1379" s="42" t="s">
        <v>1078</v>
      </c>
      <c r="C1379" s="56"/>
      <c r="D1379" s="56"/>
      <c r="E1379" s="56"/>
      <c r="F1379" s="56"/>
    </row>
    <row r="1380" s="1" customFormat="1" ht="37.5" spans="1:6">
      <c r="A1380" s="56"/>
      <c r="B1380" s="42" t="s">
        <v>1079</v>
      </c>
      <c r="C1380" s="56"/>
      <c r="D1380" s="56"/>
      <c r="E1380" s="56"/>
      <c r="F1380" s="56"/>
    </row>
    <row r="1381" s="1" customFormat="1" ht="18.75" spans="1:6">
      <c r="A1381" s="56"/>
      <c r="B1381" s="57" t="s">
        <v>1080</v>
      </c>
      <c r="C1381" s="56"/>
      <c r="D1381" s="56"/>
      <c r="E1381" s="56"/>
      <c r="F1381" s="56"/>
    </row>
    <row r="1382" s="1" customFormat="1" ht="37.5" spans="1:6">
      <c r="A1382" s="56">
        <v>7</v>
      </c>
      <c r="B1382" s="57" t="s">
        <v>1081</v>
      </c>
      <c r="C1382" s="56">
        <v>2</v>
      </c>
      <c r="D1382" s="56">
        <v>2</v>
      </c>
      <c r="E1382" s="56"/>
      <c r="F1382" s="56"/>
    </row>
    <row r="1383" s="1" customFormat="1" ht="18.75" spans="1:6">
      <c r="A1383" s="56"/>
      <c r="B1383" s="42" t="s">
        <v>1082</v>
      </c>
      <c r="C1383" s="56"/>
      <c r="D1383" s="56"/>
      <c r="E1383" s="56"/>
      <c r="F1383" s="56"/>
    </row>
    <row r="1384" s="1" customFormat="1" ht="18.75" spans="1:6">
      <c r="A1384" s="56"/>
      <c r="B1384" s="42" t="s">
        <v>1083</v>
      </c>
      <c r="C1384" s="56"/>
      <c r="D1384" s="56"/>
      <c r="E1384" s="56"/>
      <c r="F1384" s="56"/>
    </row>
    <row r="1385" s="1" customFormat="1" ht="18.75" spans="1:6">
      <c r="A1385" s="56"/>
      <c r="B1385" s="42" t="s">
        <v>1084</v>
      </c>
      <c r="C1385" s="56"/>
      <c r="D1385" s="56"/>
      <c r="E1385" s="56"/>
      <c r="F1385" s="56"/>
    </row>
    <row r="1386" s="1" customFormat="1" ht="18.75" spans="1:6">
      <c r="A1386" s="56"/>
      <c r="B1386" s="42" t="s">
        <v>1085</v>
      </c>
      <c r="C1386" s="56"/>
      <c r="D1386" s="56"/>
      <c r="E1386" s="56"/>
      <c r="F1386" s="56"/>
    </row>
    <row r="1387" s="1" customFormat="1" ht="18.75" spans="1:6">
      <c r="A1387" s="56"/>
      <c r="B1387" s="42" t="s">
        <v>1086</v>
      </c>
      <c r="C1387" s="56"/>
      <c r="D1387" s="56"/>
      <c r="E1387" s="56"/>
      <c r="F1387" s="56"/>
    </row>
    <row r="1388" s="1" customFormat="1" ht="37.5" spans="1:6">
      <c r="A1388" s="56">
        <v>8</v>
      </c>
      <c r="B1388" s="57" t="s">
        <v>1087</v>
      </c>
      <c r="C1388" s="56">
        <v>2</v>
      </c>
      <c r="D1388" s="56">
        <v>2</v>
      </c>
      <c r="E1388" s="56"/>
      <c r="F1388" s="56"/>
    </row>
    <row r="1389" s="1" customFormat="1" ht="18.75" spans="1:6">
      <c r="A1389" s="56"/>
      <c r="B1389" s="42" t="s">
        <v>1088</v>
      </c>
      <c r="C1389" s="56"/>
      <c r="D1389" s="56"/>
      <c r="E1389" s="56"/>
      <c r="F1389" s="56"/>
    </row>
    <row r="1390" s="1" customFormat="1" ht="18.75" spans="1:6">
      <c r="A1390" s="56"/>
      <c r="B1390" s="42" t="s">
        <v>1089</v>
      </c>
      <c r="C1390" s="56"/>
      <c r="D1390" s="56"/>
      <c r="E1390" s="56"/>
      <c r="F1390" s="56"/>
    </row>
    <row r="1391" s="1" customFormat="1" ht="18.75" spans="1:6">
      <c r="A1391" s="56"/>
      <c r="B1391" s="42" t="s">
        <v>1090</v>
      </c>
      <c r="C1391" s="56"/>
      <c r="D1391" s="56"/>
      <c r="E1391" s="56"/>
      <c r="F1391" s="56"/>
    </row>
    <row r="1392" s="1" customFormat="1" ht="18.75" spans="1:6">
      <c r="A1392" s="56"/>
      <c r="B1392" s="42" t="s">
        <v>1091</v>
      </c>
      <c r="C1392" s="56"/>
      <c r="D1392" s="56"/>
      <c r="E1392" s="56"/>
      <c r="F1392" s="56"/>
    </row>
    <row r="1393" s="1" customFormat="1" ht="18.75" spans="1:6">
      <c r="A1393" s="56"/>
      <c r="B1393" s="42" t="s">
        <v>1092</v>
      </c>
      <c r="C1393" s="56"/>
      <c r="D1393" s="56"/>
      <c r="E1393" s="56"/>
      <c r="F1393" s="56"/>
    </row>
    <row r="1394" s="1" customFormat="1" ht="37.5" spans="1:6">
      <c r="A1394" s="56">
        <v>9</v>
      </c>
      <c r="B1394" s="57" t="s">
        <v>1093</v>
      </c>
      <c r="C1394" s="56">
        <v>2</v>
      </c>
      <c r="D1394" s="56">
        <v>2</v>
      </c>
      <c r="E1394" s="56"/>
      <c r="F1394" s="56"/>
    </row>
    <row r="1395" s="1" customFormat="1" ht="18.75" spans="1:6">
      <c r="A1395" s="56"/>
      <c r="B1395" s="42" t="s">
        <v>1094</v>
      </c>
      <c r="C1395" s="56"/>
      <c r="D1395" s="56"/>
      <c r="E1395" s="56"/>
      <c r="F1395" s="56"/>
    </row>
    <row r="1396" s="1" customFormat="1" ht="18.75" spans="1:6">
      <c r="A1396" s="56"/>
      <c r="B1396" s="42" t="s">
        <v>1095</v>
      </c>
      <c r="C1396" s="56"/>
      <c r="D1396" s="56"/>
      <c r="E1396" s="56"/>
      <c r="F1396" s="56"/>
    </row>
    <row r="1397" s="1" customFormat="1" ht="18.75" spans="1:6">
      <c r="A1397" s="56"/>
      <c r="B1397" s="42" t="s">
        <v>1096</v>
      </c>
      <c r="C1397" s="56"/>
      <c r="D1397" s="56"/>
      <c r="E1397" s="56"/>
      <c r="F1397" s="56"/>
    </row>
    <row r="1398" s="1" customFormat="1" ht="37.5" spans="1:6">
      <c r="A1398" s="56"/>
      <c r="B1398" s="42" t="s">
        <v>1097</v>
      </c>
      <c r="C1398" s="56"/>
      <c r="D1398" s="56"/>
      <c r="E1398" s="56"/>
      <c r="F1398" s="56"/>
    </row>
    <row r="1399" s="1" customFormat="1" ht="37.5" spans="1:6">
      <c r="A1399" s="56"/>
      <c r="B1399" s="42" t="s">
        <v>1098</v>
      </c>
      <c r="C1399" s="56"/>
      <c r="D1399" s="56"/>
      <c r="E1399" s="56"/>
      <c r="F1399" s="56"/>
    </row>
    <row r="1400" s="1" customFormat="1" ht="18.75" spans="1:6">
      <c r="A1400" s="56"/>
      <c r="B1400" s="42" t="s">
        <v>1099</v>
      </c>
      <c r="C1400" s="56"/>
      <c r="D1400" s="56"/>
      <c r="E1400" s="56"/>
      <c r="F1400" s="56"/>
    </row>
    <row r="1401" s="1" customFormat="1" ht="37.5" spans="1:6">
      <c r="A1401" s="56"/>
      <c r="B1401" s="42" t="s">
        <v>1100</v>
      </c>
      <c r="C1401" s="56"/>
      <c r="D1401" s="56"/>
      <c r="E1401" s="56"/>
      <c r="F1401" s="56"/>
    </row>
    <row r="1402" s="1" customFormat="1" ht="37.5" spans="1:6">
      <c r="A1402" s="56">
        <v>10</v>
      </c>
      <c r="B1402" s="57" t="s">
        <v>1101</v>
      </c>
      <c r="C1402" s="56">
        <v>2</v>
      </c>
      <c r="D1402" s="56">
        <v>2</v>
      </c>
      <c r="E1402" s="56"/>
      <c r="F1402" s="56"/>
    </row>
    <row r="1403" s="1" customFormat="1" ht="18.75" spans="1:6">
      <c r="A1403" s="56"/>
      <c r="B1403" s="42" t="s">
        <v>1102</v>
      </c>
      <c r="C1403" s="56"/>
      <c r="D1403" s="56"/>
      <c r="E1403" s="56"/>
      <c r="F1403" s="56"/>
    </row>
    <row r="1404" s="1" customFormat="1" ht="18.75" spans="1:6">
      <c r="A1404" s="56"/>
      <c r="B1404" s="42" t="s">
        <v>1103</v>
      </c>
      <c r="C1404" s="56"/>
      <c r="D1404" s="56"/>
      <c r="E1404" s="56"/>
      <c r="F1404" s="56"/>
    </row>
    <row r="1405" s="1" customFormat="1" ht="18.75" spans="1:6">
      <c r="A1405" s="56"/>
      <c r="B1405" s="42" t="s">
        <v>1104</v>
      </c>
      <c r="C1405" s="56"/>
      <c r="D1405" s="56"/>
      <c r="E1405" s="56"/>
      <c r="F1405" s="56"/>
    </row>
    <row r="1406" s="1" customFormat="1" ht="18.75" spans="1:6">
      <c r="A1406" s="56"/>
      <c r="B1406" s="42" t="s">
        <v>1105</v>
      </c>
      <c r="C1406" s="56"/>
      <c r="D1406" s="56"/>
      <c r="E1406" s="56"/>
      <c r="F1406" s="56"/>
    </row>
    <row r="1407" s="1" customFormat="1" ht="37.5" spans="1:6">
      <c r="A1407" s="56"/>
      <c r="B1407" s="42" t="s">
        <v>1106</v>
      </c>
      <c r="C1407" s="56"/>
      <c r="D1407" s="56"/>
      <c r="E1407" s="56"/>
      <c r="F1407" s="56"/>
    </row>
    <row r="1408" s="1" customFormat="1" ht="37.5" spans="1:6">
      <c r="A1408" s="56"/>
      <c r="B1408" s="42" t="s">
        <v>1107</v>
      </c>
      <c r="C1408" s="56"/>
      <c r="D1408" s="56"/>
      <c r="E1408" s="56"/>
      <c r="F1408" s="56"/>
    </row>
    <row r="1409" s="1" customFormat="1" ht="18.75" spans="1:6">
      <c r="A1409" s="56"/>
      <c r="B1409" s="57" t="s">
        <v>494</v>
      </c>
      <c r="C1409" s="56">
        <v>2</v>
      </c>
      <c r="D1409" s="56"/>
      <c r="E1409" s="56"/>
      <c r="F1409" s="56">
        <v>2</v>
      </c>
    </row>
    <row r="1410" s="1" customFormat="1" ht="18.75" spans="1:6">
      <c r="A1410" s="56"/>
      <c r="B1410" s="69" t="s">
        <v>69</v>
      </c>
      <c r="C1410" s="8">
        <f t="shared" ref="C1410:F1410" si="93">SUM(C1346:C1409)</f>
        <v>32</v>
      </c>
      <c r="D1410" s="8">
        <f t="shared" si="93"/>
        <v>30</v>
      </c>
      <c r="E1410" s="8"/>
      <c r="F1410" s="8">
        <f t="shared" si="93"/>
        <v>2</v>
      </c>
    </row>
    <row r="1411" s="1" customFormat="1" ht="35.7" customHeight="1" spans="1:6">
      <c r="B1411" s="79" t="s">
        <v>1010</v>
      </c>
      <c r="C1411" s="79"/>
      <c r="D1411" s="79"/>
      <c r="E1411" s="79"/>
      <c r="F1411" s="79"/>
    </row>
    <row r="1412" s="1" customFormat="1" ht="18.75" spans="1:6">
      <c r="A1412" s="2" t="s">
        <v>1108</v>
      </c>
      <c r="B1412" s="31" t="str">
        <f>VLOOKUP(A1412,$A$7:$B$50,2,FALSE)</f>
        <v>Kỹ năng giao tiếp</v>
      </c>
    </row>
    <row r="1413" s="1" customFormat="1" ht="18.75" spans="1:6">
      <c r="A1413" s="46" t="s">
        <v>79</v>
      </c>
      <c r="B1413" s="46" t="s">
        <v>80</v>
      </c>
      <c r="C1413" s="46" t="s">
        <v>81</v>
      </c>
      <c r="D1413" s="46"/>
      <c r="E1413" s="46"/>
      <c r="F1413" s="46"/>
    </row>
    <row r="1414" s="1" customFormat="1" ht="75" spans="1:6">
      <c r="A1414" s="46"/>
      <c r="B1414" s="46"/>
      <c r="C1414" s="46" t="s">
        <v>7</v>
      </c>
      <c r="D1414" s="46" t="s">
        <v>9</v>
      </c>
      <c r="E1414" s="46" t="s">
        <v>82</v>
      </c>
      <c r="F1414" s="46" t="s">
        <v>11</v>
      </c>
    </row>
    <row r="1415" s="1" customFormat="1" ht="18.75" spans="1:6">
      <c r="A1415" s="14">
        <v>1</v>
      </c>
      <c r="B1415" s="54" t="s">
        <v>1109</v>
      </c>
      <c r="C1415" s="14">
        <v>8</v>
      </c>
      <c r="D1415" s="14">
        <v>4</v>
      </c>
      <c r="E1415" s="14">
        <v>4</v>
      </c>
      <c r="F1415" s="14"/>
    </row>
    <row r="1416" s="1" customFormat="1" ht="37.5" spans="1:6">
      <c r="A1416" s="14">
        <v>2</v>
      </c>
      <c r="B1416" s="54" t="s">
        <v>1110</v>
      </c>
      <c r="C1416" s="14">
        <v>2</v>
      </c>
      <c r="D1416" s="14">
        <v>2</v>
      </c>
      <c r="E1416" s="14"/>
      <c r="F1416" s="14"/>
    </row>
    <row r="1417" s="1" customFormat="1" ht="37.5" spans="1:6">
      <c r="A1417" s="14">
        <v>3</v>
      </c>
      <c r="B1417" s="54" t="s">
        <v>1111</v>
      </c>
      <c r="C1417" s="14">
        <v>6</v>
      </c>
      <c r="D1417" s="14">
        <v>2</v>
      </c>
      <c r="E1417" s="14">
        <v>4</v>
      </c>
      <c r="F1417" s="14"/>
    </row>
    <row r="1418" s="1" customFormat="1" ht="37.5" spans="1:6">
      <c r="A1418" s="14">
        <v>4</v>
      </c>
      <c r="B1418" s="54" t="s">
        <v>1112</v>
      </c>
      <c r="C1418" s="14">
        <v>2</v>
      </c>
      <c r="D1418" s="14">
        <v>2</v>
      </c>
      <c r="E1418" s="14"/>
      <c r="F1418" s="14"/>
    </row>
    <row r="1419" s="1" customFormat="1" ht="37.5" spans="1:6">
      <c r="A1419" s="14">
        <v>5</v>
      </c>
      <c r="B1419" s="54" t="s">
        <v>1113</v>
      </c>
      <c r="C1419" s="14">
        <v>6</v>
      </c>
      <c r="D1419" s="14">
        <v>2</v>
      </c>
      <c r="E1419" s="14">
        <v>4</v>
      </c>
      <c r="F1419" s="14"/>
    </row>
    <row r="1420" s="1" customFormat="1" ht="37.5" spans="1:6">
      <c r="A1420" s="14">
        <v>6</v>
      </c>
      <c r="B1420" s="54" t="s">
        <v>1114</v>
      </c>
      <c r="C1420" s="14">
        <v>2</v>
      </c>
      <c r="D1420" s="14">
        <v>2</v>
      </c>
      <c r="E1420" s="14"/>
      <c r="F1420" s="14"/>
    </row>
    <row r="1421" s="1" customFormat="1" ht="18.75" spans="1:6">
      <c r="A1421" s="14">
        <v>7</v>
      </c>
      <c r="B1421" s="54" t="s">
        <v>1115</v>
      </c>
      <c r="C1421" s="14">
        <v>2</v>
      </c>
      <c r="D1421" s="14">
        <v>2</v>
      </c>
      <c r="E1421" s="14"/>
      <c r="F1421" s="14"/>
    </row>
    <row r="1422" s="1" customFormat="1" ht="37.5" spans="1:6">
      <c r="A1422" s="14">
        <v>8</v>
      </c>
      <c r="B1422" s="54" t="s">
        <v>1116</v>
      </c>
      <c r="C1422" s="14">
        <v>2</v>
      </c>
      <c r="D1422" s="14">
        <v>2</v>
      </c>
      <c r="E1422" s="14"/>
      <c r="F1422" s="14"/>
    </row>
    <row r="1423" s="1" customFormat="1" ht="18.75" spans="1:6">
      <c r="A1423" s="14">
        <v>9</v>
      </c>
      <c r="B1423" s="54" t="s">
        <v>1117</v>
      </c>
      <c r="C1423" s="14">
        <v>2</v>
      </c>
      <c r="D1423" s="14">
        <v>2</v>
      </c>
      <c r="E1423" s="14"/>
      <c r="F1423" s="14"/>
    </row>
    <row r="1424" s="1" customFormat="1" ht="18.75" spans="1:6">
      <c r="A1424" s="14">
        <v>10</v>
      </c>
      <c r="B1424" s="54" t="s">
        <v>1118</v>
      </c>
      <c r="C1424" s="14">
        <v>6</v>
      </c>
      <c r="D1424" s="14">
        <v>2</v>
      </c>
      <c r="E1424" s="14">
        <v>4</v>
      </c>
      <c r="F1424" s="14"/>
    </row>
    <row r="1425" s="1" customFormat="1" ht="18.75" spans="1:6">
      <c r="A1425" s="14"/>
      <c r="B1425" s="54" t="s">
        <v>528</v>
      </c>
      <c r="C1425" s="14">
        <v>2</v>
      </c>
      <c r="D1425" s="14"/>
      <c r="E1425" s="14"/>
      <c r="F1425" s="14">
        <v>2</v>
      </c>
    </row>
    <row r="1426" s="1" customFormat="1" ht="18.75" spans="1:6">
      <c r="A1426" s="14"/>
      <c r="B1426" s="10" t="s">
        <v>59</v>
      </c>
      <c r="C1426" s="10">
        <f t="shared" ref="C1426:F1426" si="94">SUM(C1415:C1425)</f>
        <v>40</v>
      </c>
      <c r="D1426" s="10">
        <f t="shared" si="94"/>
        <v>22</v>
      </c>
      <c r="E1426" s="10">
        <f t="shared" si="94"/>
        <v>16</v>
      </c>
      <c r="F1426" s="10">
        <f t="shared" si="94"/>
        <v>2</v>
      </c>
    </row>
    <row r="1427" s="1" customFormat="1" ht="40.95" customHeight="1" spans="1:6">
      <c r="A1427" s="2"/>
      <c r="B1427" s="74" t="s">
        <v>1119</v>
      </c>
      <c r="C1427" s="74"/>
      <c r="D1427" s="74"/>
      <c r="E1427" s="74"/>
      <c r="F1427" s="74"/>
    </row>
    <row r="1428" s="1" customFormat="1" ht="18.75" spans="1:6">
      <c r="A1428" s="2" t="s">
        <v>1120</v>
      </c>
      <c r="B1428" s="31" t="str">
        <f>VLOOKUP(A1428,$A$7:$B$50,2,FALSE)</f>
        <v>Thực tập giai đoạn 2 (thực tập bệnh viện)</v>
      </c>
    </row>
    <row r="1429" s="1" customFormat="1" ht="18.75" spans="1:6">
      <c r="A1429" s="46" t="s">
        <v>79</v>
      </c>
      <c r="B1429" s="46" t="s">
        <v>80</v>
      </c>
      <c r="C1429" s="46" t="s">
        <v>81</v>
      </c>
      <c r="D1429" s="46"/>
      <c r="E1429" s="46"/>
      <c r="F1429" s="46"/>
    </row>
    <row r="1430" s="1" customFormat="1" ht="75" spans="1:6">
      <c r="A1430" s="46"/>
      <c r="B1430" s="46"/>
      <c r="C1430" s="46" t="s">
        <v>7</v>
      </c>
      <c r="D1430" s="46" t="s">
        <v>9</v>
      </c>
      <c r="E1430" s="46" t="s">
        <v>82</v>
      </c>
      <c r="F1430" s="46" t="s">
        <v>11</v>
      </c>
    </row>
    <row r="1431" s="1" customFormat="1" ht="37.5" spans="1:6">
      <c r="A1431" s="56">
        <v>1</v>
      </c>
      <c r="B1431" s="57" t="s">
        <v>1121</v>
      </c>
      <c r="C1431" s="56">
        <v>10</v>
      </c>
      <c r="D1431" s="56"/>
      <c r="E1431" s="56">
        <v>10</v>
      </c>
      <c r="F1431" s="56"/>
    </row>
    <row r="1432" s="1" customFormat="1" ht="37.5" spans="1:6">
      <c r="A1432" s="56"/>
      <c r="B1432" s="57" t="s">
        <v>1122</v>
      </c>
      <c r="C1432" s="56"/>
      <c r="D1432" s="56"/>
      <c r="E1432" s="56"/>
      <c r="F1432" s="56"/>
    </row>
    <row r="1433" s="1" customFormat="1" ht="37.5" spans="1:6">
      <c r="A1433" s="56"/>
      <c r="B1433" s="57" t="s">
        <v>1123</v>
      </c>
      <c r="C1433" s="56"/>
      <c r="D1433" s="56"/>
      <c r="E1433" s="56"/>
      <c r="F1433" s="56"/>
    </row>
    <row r="1434" s="1" customFormat="1" ht="37.5" spans="1:6">
      <c r="A1434" s="56"/>
      <c r="B1434" s="57" t="s">
        <v>1124</v>
      </c>
      <c r="C1434" s="56"/>
      <c r="D1434" s="56"/>
      <c r="E1434" s="56"/>
      <c r="F1434" s="56"/>
    </row>
    <row r="1435" s="1" customFormat="1" ht="56.25" spans="1:6">
      <c r="A1435" s="56"/>
      <c r="B1435" s="57" t="s">
        <v>1125</v>
      </c>
      <c r="C1435" s="56"/>
      <c r="D1435" s="56"/>
      <c r="E1435" s="56"/>
      <c r="F1435" s="56"/>
    </row>
    <row r="1436" s="1" customFormat="1" ht="18.75" spans="1:6">
      <c r="A1436" s="56">
        <v>2</v>
      </c>
      <c r="B1436" s="57" t="s">
        <v>1126</v>
      </c>
      <c r="C1436" s="56">
        <v>30</v>
      </c>
      <c r="D1436" s="8"/>
      <c r="E1436" s="56">
        <v>30</v>
      </c>
      <c r="F1436" s="8"/>
    </row>
    <row r="1437" s="1" customFormat="1" ht="37.5" spans="1:6">
      <c r="A1437" s="56"/>
      <c r="B1437" s="57" t="s">
        <v>1127</v>
      </c>
      <c r="C1437" s="56"/>
      <c r="D1437" s="8"/>
      <c r="E1437" s="56"/>
      <c r="F1437" s="8"/>
    </row>
    <row r="1438" s="1" customFormat="1" ht="37.5" spans="1:6">
      <c r="A1438" s="56"/>
      <c r="B1438" s="57" t="s">
        <v>1128</v>
      </c>
      <c r="C1438" s="56"/>
      <c r="D1438" s="8"/>
      <c r="E1438" s="56"/>
      <c r="F1438" s="8"/>
    </row>
    <row r="1439" s="1" customFormat="1" ht="37.5" spans="1:6">
      <c r="A1439" s="56"/>
      <c r="B1439" s="57" t="s">
        <v>1129</v>
      </c>
      <c r="C1439" s="56"/>
      <c r="D1439" s="8"/>
      <c r="E1439" s="56"/>
      <c r="F1439" s="8"/>
    </row>
    <row r="1440" s="1" customFormat="1" ht="37.5" spans="1:6">
      <c r="A1440" s="56"/>
      <c r="B1440" s="57" t="s">
        <v>1130</v>
      </c>
      <c r="C1440" s="56"/>
      <c r="D1440" s="8"/>
      <c r="E1440" s="56"/>
      <c r="F1440" s="8"/>
    </row>
    <row r="1441" s="1" customFormat="1" ht="37.5" spans="1:6">
      <c r="A1441" s="56"/>
      <c r="B1441" s="57" t="s">
        <v>1131</v>
      </c>
      <c r="C1441" s="56"/>
      <c r="D1441" s="8"/>
      <c r="E1441" s="56"/>
      <c r="F1441" s="8"/>
    </row>
    <row r="1442" s="1" customFormat="1" ht="37.5" spans="1:6">
      <c r="A1442" s="56"/>
      <c r="B1442" s="57" t="s">
        <v>1132</v>
      </c>
      <c r="C1442" s="56"/>
      <c r="D1442" s="8"/>
      <c r="E1442" s="56"/>
      <c r="F1442" s="8"/>
    </row>
    <row r="1443" s="1" customFormat="1" ht="37.5" spans="1:6">
      <c r="A1443" s="56">
        <v>3</v>
      </c>
      <c r="B1443" s="57" t="s">
        <v>1133</v>
      </c>
      <c r="C1443" s="56">
        <v>30</v>
      </c>
      <c r="D1443" s="56"/>
      <c r="E1443" s="56">
        <v>30</v>
      </c>
      <c r="F1443" s="56"/>
    </row>
    <row r="1444" s="1" customFormat="1" ht="37.5" spans="1:6">
      <c r="A1444" s="56"/>
      <c r="B1444" s="57" t="s">
        <v>1134</v>
      </c>
      <c r="C1444" s="56"/>
      <c r="D1444" s="56"/>
      <c r="E1444" s="56"/>
      <c r="F1444" s="56"/>
    </row>
    <row r="1445" s="1" customFormat="1" ht="37.5" spans="1:6">
      <c r="A1445" s="56"/>
      <c r="B1445" s="57" t="s">
        <v>1135</v>
      </c>
      <c r="C1445" s="56"/>
      <c r="D1445" s="56"/>
      <c r="E1445" s="56"/>
      <c r="F1445" s="56"/>
    </row>
    <row r="1446" s="1" customFormat="1" ht="56.25" spans="1:6">
      <c r="A1446" s="56"/>
      <c r="B1446" s="57" t="s">
        <v>1136</v>
      </c>
      <c r="C1446" s="56"/>
      <c r="D1446" s="56"/>
      <c r="E1446" s="56"/>
      <c r="F1446" s="56"/>
    </row>
    <row r="1447" s="1" customFormat="1" ht="37.5" spans="1:6">
      <c r="A1447" s="56"/>
      <c r="B1447" s="57" t="s">
        <v>1137</v>
      </c>
      <c r="C1447" s="56"/>
      <c r="D1447" s="56"/>
      <c r="E1447" s="56"/>
      <c r="F1447" s="56"/>
    </row>
    <row r="1448" s="1" customFormat="1" ht="37.5" spans="1:6">
      <c r="A1448" s="56"/>
      <c r="B1448" s="57" t="s">
        <v>1138</v>
      </c>
      <c r="C1448" s="56"/>
      <c r="D1448" s="56"/>
      <c r="E1448" s="56"/>
      <c r="F1448" s="56"/>
    </row>
    <row r="1449" s="1" customFormat="1" ht="37.5" spans="1:6">
      <c r="A1449" s="56"/>
      <c r="B1449" s="57" t="s">
        <v>1139</v>
      </c>
      <c r="C1449" s="56"/>
      <c r="D1449" s="56"/>
      <c r="E1449" s="56"/>
      <c r="F1449" s="56"/>
    </row>
    <row r="1450" s="1" customFormat="1" ht="37.5" spans="1:6">
      <c r="A1450" s="56">
        <v>4</v>
      </c>
      <c r="B1450" s="57" t="s">
        <v>1140</v>
      </c>
      <c r="C1450" s="56">
        <v>30</v>
      </c>
      <c r="D1450" s="56"/>
      <c r="E1450" s="56">
        <v>30</v>
      </c>
      <c r="F1450" s="56"/>
    </row>
    <row r="1451" s="1" customFormat="1" ht="37.5" spans="1:6">
      <c r="A1451" s="56"/>
      <c r="B1451" s="57" t="s">
        <v>1141</v>
      </c>
      <c r="C1451" s="56"/>
      <c r="D1451" s="56"/>
      <c r="E1451" s="56"/>
      <c r="F1451" s="56"/>
    </row>
    <row r="1452" s="1" customFormat="1" ht="56.25" spans="1:6">
      <c r="A1452" s="56"/>
      <c r="B1452" s="57" t="s">
        <v>1142</v>
      </c>
      <c r="C1452" s="56"/>
      <c r="D1452" s="56"/>
      <c r="E1452" s="56"/>
      <c r="F1452" s="56"/>
    </row>
    <row r="1453" s="1" customFormat="1" ht="37.5" spans="1:6">
      <c r="A1453" s="56"/>
      <c r="B1453" s="57" t="s">
        <v>1143</v>
      </c>
      <c r="C1453" s="56"/>
      <c r="D1453" s="56"/>
      <c r="E1453" s="56"/>
      <c r="F1453" s="56"/>
    </row>
    <row r="1454" s="1" customFormat="1" ht="37.5" spans="1:6">
      <c r="A1454" s="56"/>
      <c r="B1454" s="57" t="s">
        <v>1144</v>
      </c>
      <c r="C1454" s="56"/>
      <c r="D1454" s="56"/>
      <c r="E1454" s="56"/>
      <c r="F1454" s="56"/>
    </row>
    <row r="1455" s="1" customFormat="1" ht="37.5" spans="1:6">
      <c r="A1455" s="56"/>
      <c r="B1455" s="57" t="s">
        <v>1145</v>
      </c>
      <c r="C1455" s="56"/>
      <c r="D1455" s="56"/>
      <c r="E1455" s="56"/>
      <c r="F1455" s="56"/>
    </row>
    <row r="1456" s="1" customFormat="1" ht="37.5" spans="1:6">
      <c r="A1456" s="56">
        <v>5</v>
      </c>
      <c r="B1456" s="57" t="s">
        <v>1146</v>
      </c>
      <c r="C1456" s="56">
        <v>30</v>
      </c>
      <c r="D1456" s="56"/>
      <c r="E1456" s="56">
        <v>30</v>
      </c>
      <c r="F1456" s="56"/>
    </row>
    <row r="1457" s="1" customFormat="1" ht="37.5" spans="1:6">
      <c r="A1457" s="56"/>
      <c r="B1457" s="57" t="s">
        <v>1147</v>
      </c>
      <c r="C1457" s="56"/>
      <c r="D1457" s="56"/>
      <c r="E1457" s="56"/>
      <c r="F1457" s="56"/>
    </row>
    <row r="1458" s="1" customFormat="1" ht="37.5" spans="1:6">
      <c r="A1458" s="56"/>
      <c r="B1458" s="57" t="s">
        <v>1148</v>
      </c>
      <c r="C1458" s="56"/>
      <c r="D1458" s="56"/>
      <c r="E1458" s="56"/>
      <c r="F1458" s="56"/>
    </row>
    <row r="1459" s="1" customFormat="1" ht="37.5" spans="1:6">
      <c r="A1459" s="56"/>
      <c r="B1459" s="57" t="s">
        <v>1149</v>
      </c>
      <c r="C1459" s="56"/>
      <c r="D1459" s="56"/>
      <c r="E1459" s="56"/>
      <c r="F1459" s="56"/>
    </row>
    <row r="1460" s="1" customFormat="1" ht="37.5" spans="1:6">
      <c r="A1460" s="56"/>
      <c r="B1460" s="57" t="s">
        <v>1150</v>
      </c>
      <c r="C1460" s="56"/>
      <c r="D1460" s="56"/>
      <c r="E1460" s="56"/>
      <c r="F1460" s="56"/>
    </row>
    <row r="1461" s="1" customFormat="1" ht="18.75" spans="1:6">
      <c r="A1461" s="56"/>
      <c r="B1461" s="57" t="s">
        <v>1151</v>
      </c>
      <c r="C1461" s="56"/>
      <c r="D1461" s="56"/>
      <c r="E1461" s="56"/>
      <c r="F1461" s="56"/>
    </row>
    <row r="1462" s="1" customFormat="1" ht="37.5" spans="1:6">
      <c r="A1462" s="56"/>
      <c r="B1462" s="57" t="s">
        <v>1152</v>
      </c>
      <c r="C1462" s="56"/>
      <c r="D1462" s="56"/>
      <c r="E1462" s="56"/>
      <c r="F1462" s="56"/>
    </row>
    <row r="1463" s="1" customFormat="1" ht="18.75" spans="1:6">
      <c r="A1463" s="56"/>
      <c r="B1463" s="57" t="s">
        <v>980</v>
      </c>
      <c r="C1463" s="56">
        <v>5</v>
      </c>
      <c r="D1463" s="56"/>
      <c r="E1463" s="56"/>
      <c r="F1463" s="56">
        <v>5</v>
      </c>
    </row>
    <row r="1464" s="1" customFormat="1" ht="18.75" spans="1:6">
      <c r="A1464" s="56"/>
      <c r="B1464" s="69" t="s">
        <v>69</v>
      </c>
      <c r="C1464" s="8">
        <f t="shared" ref="C1464:F1464" si="95">SUM(C1431:C1463)</f>
        <v>135</v>
      </c>
      <c r="D1464" s="8"/>
      <c r="E1464" s="8">
        <f t="shared" si="95"/>
        <v>130</v>
      </c>
      <c r="F1464" s="8">
        <f t="shared" si="95"/>
        <v>5</v>
      </c>
    </row>
    <row r="1465" s="1" customFormat="1" ht="38.25" customHeight="1" spans="1:6">
      <c r="A1465" s="2"/>
      <c r="B1465" s="90" t="s">
        <v>981</v>
      </c>
      <c r="C1465" s="90"/>
      <c r="D1465" s="90"/>
      <c r="E1465" s="90"/>
      <c r="F1465" s="90"/>
    </row>
    <row r="1466" s="1" customFormat="1" ht="18.75" spans="1:6">
      <c r="A1466" s="2" t="s">
        <v>1153</v>
      </c>
      <c r="B1466" s="31" t="str">
        <f>VLOOKUP(A1466,$A$7:$B$50,2,FALSE)</f>
        <v>Thực tập Nhà thuốc</v>
      </c>
    </row>
    <row r="1467" s="1" customFormat="1" ht="18.75" spans="1:6">
      <c r="A1467" s="46" t="s">
        <v>79</v>
      </c>
      <c r="B1467" s="46" t="s">
        <v>80</v>
      </c>
      <c r="C1467" s="46" t="s">
        <v>81</v>
      </c>
      <c r="D1467" s="46"/>
      <c r="E1467" s="46"/>
      <c r="F1467" s="46"/>
    </row>
    <row r="1468" s="1" customFormat="1" ht="75" spans="1:6">
      <c r="A1468" s="46"/>
      <c r="B1468" s="46"/>
      <c r="C1468" s="46" t="s">
        <v>7</v>
      </c>
      <c r="D1468" s="46" t="s">
        <v>9</v>
      </c>
      <c r="E1468" s="46" t="s">
        <v>82</v>
      </c>
      <c r="F1468" s="46" t="s">
        <v>11</v>
      </c>
    </row>
    <row r="1469" s="1" customFormat="1" ht="37.5" spans="1:6">
      <c r="A1469" s="56">
        <v>1</v>
      </c>
      <c r="B1469" s="57" t="s">
        <v>1154</v>
      </c>
      <c r="C1469" s="56">
        <v>25</v>
      </c>
      <c r="D1469" s="56"/>
      <c r="E1469" s="56">
        <v>25</v>
      </c>
      <c r="F1469" s="56"/>
    </row>
    <row r="1470" s="1" customFormat="1" ht="37.5" spans="1:6">
      <c r="A1470" s="56"/>
      <c r="B1470" s="57" t="s">
        <v>1155</v>
      </c>
      <c r="C1470" s="56"/>
      <c r="D1470" s="56"/>
      <c r="E1470" s="56"/>
      <c r="F1470" s="56"/>
    </row>
    <row r="1471" s="1" customFormat="1" ht="37.5" spans="1:6">
      <c r="A1471" s="56"/>
      <c r="B1471" s="57" t="s">
        <v>1156</v>
      </c>
      <c r="C1471" s="56"/>
      <c r="D1471" s="56"/>
      <c r="E1471" s="56"/>
      <c r="F1471" s="56"/>
    </row>
    <row r="1472" s="1" customFormat="1" ht="37.5" spans="1:6">
      <c r="A1472" s="56"/>
      <c r="B1472" s="57" t="s">
        <v>1157</v>
      </c>
      <c r="C1472" s="56"/>
      <c r="D1472" s="56"/>
      <c r="E1472" s="56"/>
      <c r="F1472" s="56"/>
    </row>
    <row r="1473" s="1" customFormat="1" ht="37.5" spans="1:6">
      <c r="A1473" s="56">
        <v>2</v>
      </c>
      <c r="B1473" s="69" t="s">
        <v>1158</v>
      </c>
      <c r="C1473" s="56">
        <v>20</v>
      </c>
      <c r="D1473" s="56"/>
      <c r="E1473" s="56">
        <v>20</v>
      </c>
      <c r="F1473" s="56"/>
    </row>
    <row r="1474" s="1" customFormat="1" ht="37.5" spans="1:6">
      <c r="A1474" s="56"/>
      <c r="B1474" s="57" t="s">
        <v>1159</v>
      </c>
      <c r="C1474" s="56"/>
      <c r="D1474" s="56"/>
      <c r="E1474" s="56"/>
      <c r="F1474" s="56"/>
    </row>
    <row r="1475" s="1" customFormat="1" ht="18.75" spans="1:6">
      <c r="A1475" s="56"/>
      <c r="B1475" s="57" t="s">
        <v>1160</v>
      </c>
      <c r="C1475" s="56"/>
      <c r="D1475" s="56"/>
      <c r="E1475" s="56"/>
      <c r="F1475" s="56"/>
    </row>
    <row r="1476" s="1" customFormat="1" ht="37.5" spans="1:6">
      <c r="A1476" s="56"/>
      <c r="B1476" s="57" t="s">
        <v>1161</v>
      </c>
      <c r="C1476" s="56"/>
      <c r="D1476" s="56"/>
      <c r="E1476" s="56"/>
      <c r="F1476" s="56"/>
    </row>
    <row r="1477" s="1" customFormat="1" ht="37.5" spans="1:6">
      <c r="A1477" s="56">
        <v>3</v>
      </c>
      <c r="B1477" s="57" t="s">
        <v>1162</v>
      </c>
      <c r="C1477" s="56">
        <v>20</v>
      </c>
      <c r="D1477" s="56"/>
      <c r="E1477" s="56">
        <v>20</v>
      </c>
      <c r="F1477" s="56"/>
    </row>
    <row r="1478" s="1" customFormat="1" ht="37.5" spans="1:6">
      <c r="A1478" s="56"/>
      <c r="B1478" s="57" t="s">
        <v>1163</v>
      </c>
      <c r="C1478" s="56"/>
      <c r="D1478" s="56"/>
      <c r="E1478" s="56"/>
      <c r="F1478" s="56"/>
    </row>
    <row r="1479" s="1" customFormat="1" ht="18.75" spans="1:6">
      <c r="A1479" s="56"/>
      <c r="B1479" s="57" t="s">
        <v>1164</v>
      </c>
      <c r="C1479" s="56"/>
      <c r="D1479" s="56"/>
      <c r="E1479" s="56"/>
      <c r="F1479" s="56"/>
    </row>
    <row r="1480" s="1" customFormat="1" ht="18.75" spans="1:6">
      <c r="A1480" s="56"/>
      <c r="B1480" s="57" t="s">
        <v>1165</v>
      </c>
      <c r="C1480" s="56"/>
      <c r="D1480" s="56"/>
      <c r="E1480" s="56"/>
      <c r="F1480" s="56"/>
    </row>
    <row r="1481" s="1" customFormat="1" ht="37.5" spans="1:6">
      <c r="A1481" s="56">
        <v>4</v>
      </c>
      <c r="B1481" s="57" t="s">
        <v>1166</v>
      </c>
      <c r="C1481" s="56">
        <v>20</v>
      </c>
      <c r="D1481" s="56"/>
      <c r="E1481" s="56">
        <v>20</v>
      </c>
      <c r="F1481" s="56"/>
    </row>
    <row r="1482" s="1" customFormat="1" ht="18.75" spans="1:6">
      <c r="A1482" s="56"/>
      <c r="B1482" s="57" t="s">
        <v>1167</v>
      </c>
      <c r="C1482" s="56"/>
      <c r="D1482" s="56"/>
      <c r="E1482" s="56"/>
      <c r="F1482" s="56"/>
    </row>
    <row r="1483" s="1" customFormat="1" ht="37.5" spans="1:6">
      <c r="A1483" s="56"/>
      <c r="B1483" s="57" t="s">
        <v>1168</v>
      </c>
      <c r="C1483" s="56"/>
      <c r="D1483" s="56"/>
      <c r="E1483" s="56"/>
      <c r="F1483" s="56"/>
    </row>
    <row r="1484" s="1" customFormat="1" ht="37.5" spans="1:6">
      <c r="A1484" s="56"/>
      <c r="B1484" s="57" t="s">
        <v>1169</v>
      </c>
      <c r="C1484" s="56"/>
      <c r="D1484" s="56"/>
      <c r="E1484" s="56"/>
      <c r="F1484" s="56"/>
    </row>
    <row r="1485" s="1" customFormat="1" ht="18.75" spans="1:6">
      <c r="A1485" s="56"/>
      <c r="B1485" s="57" t="s">
        <v>980</v>
      </c>
      <c r="C1485" s="56">
        <v>5</v>
      </c>
      <c r="D1485" s="56"/>
      <c r="E1485" s="56"/>
      <c r="F1485" s="56">
        <v>5</v>
      </c>
    </row>
    <row r="1486" s="1" customFormat="1" ht="18.75" spans="1:6">
      <c r="A1486" s="8"/>
      <c r="B1486" s="69" t="s">
        <v>69</v>
      </c>
      <c r="C1486" s="8">
        <f t="shared" ref="C1486:F1486" si="96">SUM(C1469:C1485)</f>
        <v>90</v>
      </c>
      <c r="D1486" s="8"/>
      <c r="E1486" s="8">
        <f t="shared" si="96"/>
        <v>85</v>
      </c>
      <c r="F1486" s="8">
        <f t="shared" si="96"/>
        <v>5</v>
      </c>
    </row>
    <row r="1487" s="1" customFormat="1" ht="37.2" customHeight="1" spans="1:6">
      <c r="A1487" s="2"/>
      <c r="B1487" s="90" t="s">
        <v>981</v>
      </c>
      <c r="C1487" s="90"/>
      <c r="D1487" s="90"/>
      <c r="E1487" s="90"/>
      <c r="F1487" s="90"/>
    </row>
    <row r="1488" s="1" customFormat="1" ht="18.75" spans="1:6">
      <c r="A1488" s="2" t="s">
        <v>1170</v>
      </c>
      <c r="B1488" s="31" t="str">
        <f>VLOOKUP(A1488,$A$7:$B$50,2,FALSE)</f>
        <v>Bảo quản thuốc</v>
      </c>
    </row>
    <row r="1489" s="1" customFormat="1" ht="18.75" spans="1:6">
      <c r="A1489" s="46" t="s">
        <v>79</v>
      </c>
      <c r="B1489" s="46" t="s">
        <v>80</v>
      </c>
      <c r="C1489" s="46" t="s">
        <v>81</v>
      </c>
      <c r="D1489" s="46"/>
      <c r="E1489" s="46"/>
      <c r="F1489" s="46"/>
    </row>
    <row r="1490" s="1" customFormat="1" ht="75" spans="1:6">
      <c r="A1490" s="47"/>
      <c r="B1490" s="47"/>
      <c r="C1490" s="47" t="s">
        <v>7</v>
      </c>
      <c r="D1490" s="47" t="s">
        <v>9</v>
      </c>
      <c r="E1490" s="47" t="s">
        <v>82</v>
      </c>
      <c r="F1490" s="47" t="s">
        <v>11</v>
      </c>
    </row>
    <row r="1491" s="1" customFormat="1" ht="37.5" spans="1:6">
      <c r="A1491" s="56">
        <v>1</v>
      </c>
      <c r="B1491" s="57" t="s">
        <v>1171</v>
      </c>
      <c r="C1491" s="56">
        <v>8</v>
      </c>
      <c r="D1491" s="56">
        <v>8</v>
      </c>
      <c r="E1491" s="56"/>
      <c r="F1491" s="56"/>
    </row>
    <row r="1492" s="1" customFormat="1" ht="37.5" spans="1:6">
      <c r="A1492" s="56"/>
      <c r="B1492" s="57" t="s">
        <v>1172</v>
      </c>
      <c r="C1492" s="56"/>
      <c r="D1492" s="56"/>
      <c r="E1492" s="8"/>
      <c r="F1492" s="8"/>
    </row>
    <row r="1493" s="1" customFormat="1" ht="37.5" spans="1:6">
      <c r="A1493" s="56"/>
      <c r="B1493" s="57" t="s">
        <v>1173</v>
      </c>
      <c r="C1493" s="56"/>
      <c r="D1493" s="56"/>
      <c r="E1493" s="8"/>
      <c r="F1493" s="8"/>
    </row>
    <row r="1494" s="1" customFormat="1" ht="18.75" spans="1:6">
      <c r="A1494" s="56"/>
      <c r="B1494" s="57" t="s">
        <v>1174</v>
      </c>
      <c r="C1494" s="56"/>
      <c r="D1494" s="56"/>
      <c r="E1494" s="8"/>
      <c r="F1494" s="8"/>
    </row>
    <row r="1495" s="1" customFormat="1" ht="18.75" spans="1:6">
      <c r="A1495" s="56"/>
      <c r="B1495" s="57" t="s">
        <v>1175</v>
      </c>
      <c r="C1495" s="56"/>
      <c r="D1495" s="56"/>
      <c r="E1495" s="8"/>
      <c r="F1495" s="8"/>
    </row>
    <row r="1496" s="1" customFormat="1" ht="18.75" spans="1:6">
      <c r="A1496" s="56"/>
      <c r="B1496" s="57"/>
      <c r="C1496" s="56"/>
      <c r="D1496" s="56"/>
      <c r="E1496" s="8"/>
      <c r="F1496" s="8"/>
    </row>
    <row r="1497" s="1" customFormat="1" ht="37.5" spans="1:6">
      <c r="A1497" s="56">
        <v>2</v>
      </c>
      <c r="B1497" s="57" t="s">
        <v>1176</v>
      </c>
      <c r="C1497" s="56">
        <v>6</v>
      </c>
      <c r="D1497" s="56">
        <v>6</v>
      </c>
      <c r="E1497" s="56"/>
      <c r="F1497" s="56"/>
    </row>
    <row r="1498" s="1" customFormat="1" ht="18.75" spans="1:6">
      <c r="A1498" s="56"/>
      <c r="B1498" s="57" t="s">
        <v>987</v>
      </c>
      <c r="C1498" s="56"/>
      <c r="D1498" s="56"/>
      <c r="E1498" s="8"/>
      <c r="F1498" s="8"/>
    </row>
    <row r="1499" s="1" customFormat="1" ht="18.75" spans="1:6">
      <c r="A1499" s="56"/>
      <c r="B1499" s="57" t="s">
        <v>1177</v>
      </c>
      <c r="C1499" s="56"/>
      <c r="D1499" s="56"/>
      <c r="E1499" s="8"/>
      <c r="F1499" s="8"/>
    </row>
    <row r="1500" s="1" customFormat="1" ht="18.75" spans="1:6">
      <c r="A1500" s="56">
        <v>3</v>
      </c>
      <c r="B1500" s="57" t="s">
        <v>1178</v>
      </c>
      <c r="C1500" s="56">
        <v>8</v>
      </c>
      <c r="D1500" s="56">
        <v>8</v>
      </c>
      <c r="E1500" s="56"/>
      <c r="F1500" s="8"/>
    </row>
    <row r="1501" s="1" customFormat="1" ht="37.5" spans="1:6">
      <c r="A1501" s="56"/>
      <c r="B1501" s="57" t="s">
        <v>1179</v>
      </c>
      <c r="C1501" s="56"/>
      <c r="D1501" s="56"/>
      <c r="E1501" s="56"/>
      <c r="F1501" s="8"/>
    </row>
    <row r="1502" s="1" customFormat="1" ht="18.75" spans="1:6">
      <c r="A1502" s="56"/>
      <c r="B1502" s="57" t="s">
        <v>1180</v>
      </c>
      <c r="C1502" s="56"/>
      <c r="D1502" s="56"/>
      <c r="E1502" s="56"/>
      <c r="F1502" s="8"/>
    </row>
    <row r="1503" s="1" customFormat="1" ht="18.75" spans="1:6">
      <c r="A1503" s="56"/>
      <c r="B1503" s="57" t="s">
        <v>1181</v>
      </c>
      <c r="C1503" s="56"/>
      <c r="D1503" s="56"/>
      <c r="E1503" s="56"/>
      <c r="F1503" s="8"/>
    </row>
    <row r="1504" s="1" customFormat="1" ht="18.75" spans="1:6">
      <c r="A1504" s="56"/>
      <c r="B1504" s="57" t="s">
        <v>1182</v>
      </c>
      <c r="C1504" s="56"/>
      <c r="D1504" s="56"/>
      <c r="E1504" s="56"/>
      <c r="F1504" s="8"/>
    </row>
    <row r="1505" s="1" customFormat="1" ht="18.75" spans="1:6">
      <c r="A1505" s="56">
        <v>4</v>
      </c>
      <c r="B1505" s="57" t="s">
        <v>1183</v>
      </c>
      <c r="C1505" s="56">
        <v>8</v>
      </c>
      <c r="D1505" s="56">
        <v>8</v>
      </c>
      <c r="E1505" s="8"/>
      <c r="F1505" s="8"/>
    </row>
    <row r="1506" s="1" customFormat="1" ht="18.75" spans="1:6">
      <c r="A1506" s="56"/>
      <c r="B1506" s="57" t="s">
        <v>1184</v>
      </c>
      <c r="C1506" s="56"/>
      <c r="D1506" s="56"/>
      <c r="E1506" s="8"/>
      <c r="F1506" s="8"/>
    </row>
    <row r="1507" s="1" customFormat="1" ht="18.75" spans="1:6">
      <c r="A1507" s="56"/>
      <c r="B1507" s="57" t="s">
        <v>1185</v>
      </c>
      <c r="C1507" s="56"/>
      <c r="D1507" s="56"/>
      <c r="E1507" s="8"/>
      <c r="F1507" s="8"/>
    </row>
    <row r="1508" s="1" customFormat="1" ht="18.75" spans="1:6">
      <c r="A1508" s="56"/>
      <c r="B1508" s="57" t="s">
        <v>1186</v>
      </c>
      <c r="C1508" s="56"/>
      <c r="D1508" s="56"/>
      <c r="E1508" s="8"/>
      <c r="F1508" s="8"/>
    </row>
    <row r="1509" s="1" customFormat="1" ht="18.75" spans="1:6">
      <c r="A1509" s="56"/>
      <c r="B1509" s="57" t="s">
        <v>1187</v>
      </c>
      <c r="C1509" s="56"/>
      <c r="D1509" s="56"/>
      <c r="E1509" s="8"/>
      <c r="F1509" s="8"/>
    </row>
    <row r="1510" s="1" customFormat="1" ht="18.75" spans="1:6">
      <c r="A1510" s="56">
        <v>5</v>
      </c>
      <c r="B1510" s="57" t="s">
        <v>494</v>
      </c>
      <c r="C1510" s="56"/>
      <c r="D1510" s="56"/>
      <c r="E1510" s="56"/>
      <c r="F1510" s="56">
        <v>2</v>
      </c>
    </row>
    <row r="1511" s="1" customFormat="1" ht="18.75" spans="1:6">
      <c r="A1511" s="8"/>
      <c r="B1511" s="69" t="s">
        <v>69</v>
      </c>
      <c r="C1511" s="8">
        <f t="shared" ref="C1511:F1511" si="97">SUM(C1491:C1510)</f>
        <v>30</v>
      </c>
      <c r="D1511" s="8">
        <f t="shared" si="97"/>
        <v>30</v>
      </c>
      <c r="E1511" s="8"/>
      <c r="F1511" s="8">
        <f t="shared" si="97"/>
        <v>2</v>
      </c>
    </row>
    <row r="1512" s="1" customFormat="1" ht="35.25" customHeight="1" spans="1:6">
      <c r="B1512" s="90" t="s">
        <v>1188</v>
      </c>
      <c r="C1512" s="90"/>
      <c r="D1512" s="90"/>
      <c r="E1512" s="90"/>
      <c r="F1512" s="90"/>
    </row>
    <row r="1513" s="1" customFormat="1" ht="18.75" spans="1:6">
      <c r="A1513" s="2" t="s">
        <v>1189</v>
      </c>
      <c r="B1513" s="31" t="str">
        <f>VLOOKUP(A1513,$A$7:$B$50,2,FALSE)</f>
        <v>Bào chế đông dược </v>
      </c>
    </row>
    <row r="1514" s="1" customFormat="1" ht="18.75" spans="1:6">
      <c r="A1514" s="46" t="s">
        <v>79</v>
      </c>
      <c r="B1514" s="46" t="s">
        <v>80</v>
      </c>
      <c r="C1514" s="46" t="s">
        <v>81</v>
      </c>
      <c r="D1514" s="46"/>
      <c r="E1514" s="46"/>
      <c r="F1514" s="46"/>
    </row>
    <row r="1515" s="1" customFormat="1" ht="75" spans="1:6">
      <c r="A1515" s="47"/>
      <c r="B1515" s="47"/>
      <c r="C1515" s="47" t="s">
        <v>7</v>
      </c>
      <c r="D1515" s="47" t="s">
        <v>9</v>
      </c>
      <c r="E1515" s="47" t="s">
        <v>82</v>
      </c>
      <c r="F1515" s="47" t="s">
        <v>11</v>
      </c>
    </row>
    <row r="1516" s="1" customFormat="1" ht="18.75" spans="1:6">
      <c r="A1516" s="41"/>
      <c r="B1516" s="63" t="s">
        <v>308</v>
      </c>
      <c r="C1516" s="6">
        <v>17</v>
      </c>
      <c r="D1516" s="6">
        <v>15</v>
      </c>
      <c r="E1516" s="6"/>
      <c r="F1516" s="6">
        <v>2</v>
      </c>
    </row>
    <row r="1517" s="1" customFormat="1" ht="18.75" spans="1:6">
      <c r="A1517" s="41">
        <v>1</v>
      </c>
      <c r="B1517" s="42" t="s">
        <v>1190</v>
      </c>
      <c r="C1517" s="41">
        <v>5</v>
      </c>
      <c r="D1517" s="41">
        <v>5</v>
      </c>
      <c r="E1517" s="41"/>
      <c r="F1517" s="41"/>
    </row>
    <row r="1518" s="1" customFormat="1" ht="37.5" spans="1:6">
      <c r="A1518" s="41"/>
      <c r="B1518" s="42" t="s">
        <v>1191</v>
      </c>
      <c r="C1518" s="41"/>
      <c r="D1518" s="41"/>
      <c r="E1518" s="41"/>
      <c r="F1518" s="41"/>
    </row>
    <row r="1519" s="1" customFormat="1" ht="18.75" spans="1:6">
      <c r="A1519" s="41"/>
      <c r="B1519" s="42" t="s">
        <v>1192</v>
      </c>
      <c r="C1519" s="41"/>
      <c r="D1519" s="41"/>
      <c r="E1519" s="41"/>
      <c r="F1519" s="41"/>
    </row>
    <row r="1520" s="1" customFormat="1" ht="18.75" spans="1:6">
      <c r="A1520" s="41"/>
      <c r="B1520" s="42" t="s">
        <v>1193</v>
      </c>
      <c r="C1520" s="41"/>
      <c r="D1520" s="41"/>
      <c r="E1520" s="41"/>
      <c r="F1520" s="41"/>
    </row>
    <row r="1521" s="1" customFormat="1" ht="37.5" spans="1:6">
      <c r="A1521" s="41">
        <v>2</v>
      </c>
      <c r="B1521" s="42" t="s">
        <v>1194</v>
      </c>
      <c r="C1521" s="41">
        <v>5</v>
      </c>
      <c r="D1521" s="41">
        <v>5</v>
      </c>
      <c r="E1521" s="41"/>
      <c r="F1521" s="41"/>
    </row>
    <row r="1522" s="1" customFormat="1" ht="18.75" spans="1:6">
      <c r="A1522" s="41"/>
      <c r="B1522" s="42" t="s">
        <v>1195</v>
      </c>
      <c r="C1522" s="41"/>
      <c r="D1522" s="41"/>
      <c r="E1522" s="41"/>
      <c r="F1522" s="41"/>
    </row>
    <row r="1523" s="1" customFormat="1" ht="18.75" spans="1:6">
      <c r="A1523" s="41"/>
      <c r="B1523" s="42" t="s">
        <v>1196</v>
      </c>
      <c r="C1523" s="41"/>
      <c r="D1523" s="41"/>
      <c r="E1523" s="41"/>
      <c r="F1523" s="41"/>
    </row>
    <row r="1524" s="1" customFormat="1" ht="18.75" spans="1:6">
      <c r="A1524" s="41"/>
      <c r="B1524" s="42" t="s">
        <v>1197</v>
      </c>
      <c r="C1524" s="41"/>
      <c r="D1524" s="41"/>
      <c r="E1524" s="41"/>
      <c r="F1524" s="41"/>
    </row>
    <row r="1525" s="1" customFormat="1" ht="18.75" spans="1:6">
      <c r="A1525" s="41"/>
      <c r="B1525" s="42" t="s">
        <v>1198</v>
      </c>
      <c r="C1525" s="41"/>
      <c r="D1525" s="41"/>
      <c r="E1525" s="41"/>
      <c r="F1525" s="41"/>
    </row>
    <row r="1526" s="1" customFormat="1" ht="18.75" spans="1:6">
      <c r="A1526" s="41"/>
      <c r="B1526" s="42" t="s">
        <v>1199</v>
      </c>
      <c r="C1526" s="41"/>
      <c r="D1526" s="41"/>
      <c r="E1526" s="41"/>
      <c r="F1526" s="41"/>
    </row>
    <row r="1527" s="1" customFormat="1" ht="37.5" spans="1:6">
      <c r="A1527" s="41">
        <v>3</v>
      </c>
      <c r="B1527" s="42" t="s">
        <v>1200</v>
      </c>
      <c r="C1527" s="41">
        <v>5</v>
      </c>
      <c r="D1527" s="41">
        <v>5</v>
      </c>
      <c r="E1527" s="41"/>
      <c r="F1527" s="41"/>
    </row>
    <row r="1528" s="1" customFormat="1" ht="18.75" spans="1:6">
      <c r="A1528" s="41"/>
      <c r="B1528" s="42" t="s">
        <v>1201</v>
      </c>
      <c r="C1528" s="41"/>
      <c r="D1528" s="41"/>
      <c r="E1528" s="41"/>
      <c r="F1528" s="41"/>
    </row>
    <row r="1529" s="1" customFormat="1" ht="18.75" spans="1:6">
      <c r="A1529" s="41"/>
      <c r="B1529" s="42" t="s">
        <v>1202</v>
      </c>
      <c r="C1529" s="41"/>
      <c r="D1529" s="41"/>
      <c r="E1529" s="41"/>
      <c r="F1529" s="41"/>
    </row>
    <row r="1530" s="1" customFormat="1" ht="18.75" spans="1:6">
      <c r="A1530" s="41"/>
      <c r="B1530" s="42" t="s">
        <v>1203</v>
      </c>
      <c r="C1530" s="41"/>
      <c r="D1530" s="41"/>
      <c r="E1530" s="41"/>
      <c r="F1530" s="41"/>
    </row>
    <row r="1531" s="1" customFormat="1" ht="18.75" spans="1:6">
      <c r="A1531" s="41"/>
      <c r="B1531" s="42" t="s">
        <v>1204</v>
      </c>
      <c r="C1531" s="41"/>
      <c r="D1531" s="41"/>
      <c r="E1531" s="41"/>
      <c r="F1531" s="41"/>
    </row>
    <row r="1532" s="1" customFormat="1" ht="18.75" spans="1:6">
      <c r="A1532" s="41"/>
      <c r="B1532" s="69" t="s">
        <v>319</v>
      </c>
      <c r="C1532" s="8">
        <v>28</v>
      </c>
      <c r="D1532" s="8"/>
      <c r="E1532" s="8">
        <v>28</v>
      </c>
      <c r="F1532" s="8"/>
    </row>
    <row r="1533" s="1" customFormat="1" ht="18.75" spans="1:6">
      <c r="A1533" s="41">
        <v>1</v>
      </c>
      <c r="B1533" s="57" t="s">
        <v>1205</v>
      </c>
      <c r="C1533" s="56"/>
      <c r="D1533" s="56"/>
      <c r="E1533" s="56">
        <v>4</v>
      </c>
      <c r="F1533" s="56"/>
    </row>
    <row r="1534" s="1" customFormat="1" ht="18.75" spans="1:6">
      <c r="A1534" s="41">
        <v>2</v>
      </c>
      <c r="B1534" s="57" t="s">
        <v>1206</v>
      </c>
      <c r="C1534" s="56"/>
      <c r="D1534" s="56"/>
      <c r="E1534" s="56">
        <v>4</v>
      </c>
      <c r="F1534" s="56"/>
    </row>
    <row r="1535" s="1" customFormat="1" ht="18.75" spans="1:6">
      <c r="A1535" s="41">
        <v>3</v>
      </c>
      <c r="B1535" s="57" t="s">
        <v>1207</v>
      </c>
      <c r="C1535" s="56"/>
      <c r="D1535" s="56"/>
      <c r="E1535" s="56">
        <v>8</v>
      </c>
      <c r="F1535" s="56"/>
    </row>
    <row r="1536" s="1" customFormat="1" ht="18.75" spans="1:6">
      <c r="A1536" s="41">
        <v>4</v>
      </c>
      <c r="B1536" s="57" t="s">
        <v>1208</v>
      </c>
      <c r="C1536" s="56"/>
      <c r="D1536" s="56"/>
      <c r="E1536" s="56">
        <v>12</v>
      </c>
      <c r="F1536" s="56"/>
    </row>
    <row r="1537" s="1" customFormat="1" ht="18.75" spans="1:6">
      <c r="A1537" s="41"/>
      <c r="B1537" s="57" t="s">
        <v>494</v>
      </c>
      <c r="C1537" s="56">
        <v>2</v>
      </c>
      <c r="D1537" s="56"/>
      <c r="E1537" s="56"/>
      <c r="F1537" s="56">
        <v>2</v>
      </c>
    </row>
    <row r="1538" s="1" customFormat="1" ht="18.75" spans="1:6">
      <c r="A1538" s="41"/>
      <c r="B1538" s="69"/>
      <c r="C1538" s="8">
        <v>45</v>
      </c>
      <c r="D1538" s="8">
        <v>15</v>
      </c>
      <c r="E1538" s="8">
        <v>28</v>
      </c>
      <c r="F1538" s="8">
        <v>2</v>
      </c>
    </row>
    <row r="1539" s="1" customFormat="1" ht="33.45" customHeight="1" spans="1:6">
      <c r="B1539" s="79" t="s">
        <v>827</v>
      </c>
      <c r="C1539" s="79"/>
      <c r="D1539" s="79"/>
      <c r="E1539" s="79"/>
      <c r="F1539" s="79"/>
    </row>
    <row r="1540" s="1" customFormat="1" ht="18.75" spans="1:6">
      <c r="A1540" s="2" t="s">
        <v>1209</v>
      </c>
      <c r="B1540" s="31" t="str">
        <f>VLOOKUP(A1540,$A$7:$B$50,2,FALSE)</f>
        <v>Marketing dược</v>
      </c>
    </row>
    <row r="1541" s="1" customFormat="1" ht="18.75" spans="1:6">
      <c r="A1541" s="46" t="s">
        <v>79</v>
      </c>
      <c r="B1541" s="46" t="s">
        <v>80</v>
      </c>
      <c r="C1541" s="46" t="s">
        <v>81</v>
      </c>
      <c r="D1541" s="46"/>
      <c r="E1541" s="46"/>
      <c r="F1541" s="46"/>
    </row>
    <row r="1542" s="1" customFormat="1" ht="75" spans="1:6">
      <c r="A1542" s="47"/>
      <c r="B1542" s="47"/>
      <c r="C1542" s="47" t="s">
        <v>7</v>
      </c>
      <c r="D1542" s="47" t="s">
        <v>9</v>
      </c>
      <c r="E1542" s="47" t="s">
        <v>82</v>
      </c>
      <c r="F1542" s="47" t="s">
        <v>11</v>
      </c>
    </row>
    <row r="1543" s="1" customFormat="1" ht="18.75" spans="1:6">
      <c r="A1543" s="56">
        <v>1</v>
      </c>
      <c r="B1543" s="57" t="s">
        <v>1210</v>
      </c>
      <c r="C1543" s="56">
        <v>10</v>
      </c>
      <c r="D1543" s="56">
        <v>5</v>
      </c>
      <c r="E1543" s="56">
        <v>5</v>
      </c>
      <c r="F1543" s="56"/>
    </row>
    <row r="1544" s="1" customFormat="1" ht="18.75" spans="1:6">
      <c r="A1544" s="56"/>
      <c r="B1544" s="42" t="s">
        <v>1211</v>
      </c>
      <c r="C1544" s="56"/>
      <c r="D1544" s="8"/>
      <c r="E1544" s="8"/>
      <c r="F1544" s="56"/>
    </row>
    <row r="1545" s="1" customFormat="1" ht="37.5" spans="1:6">
      <c r="A1545" s="56"/>
      <c r="B1545" s="42" t="s">
        <v>1212</v>
      </c>
      <c r="C1545" s="56"/>
      <c r="D1545" s="8"/>
      <c r="E1545" s="8"/>
      <c r="F1545" s="56"/>
    </row>
    <row r="1546" s="1" customFormat="1" ht="37.5" spans="1:6">
      <c r="A1546" s="56"/>
      <c r="B1546" s="42" t="s">
        <v>1213</v>
      </c>
      <c r="C1546" s="71"/>
      <c r="D1546" s="58"/>
      <c r="E1546" s="58"/>
      <c r="F1546" s="71"/>
    </row>
    <row r="1547" s="1" customFormat="1" ht="37.5" spans="1:6">
      <c r="A1547" s="56"/>
      <c r="B1547" s="42" t="s">
        <v>1214</v>
      </c>
      <c r="C1547" s="71"/>
      <c r="D1547" s="58"/>
      <c r="E1547" s="58"/>
      <c r="F1547" s="71"/>
    </row>
    <row r="1548" s="1" customFormat="1" ht="37.5" spans="1:6">
      <c r="A1548" s="56"/>
      <c r="B1548" s="42" t="s">
        <v>1215</v>
      </c>
      <c r="C1548" s="71"/>
      <c r="D1548" s="58"/>
      <c r="E1548" s="58"/>
      <c r="F1548" s="71"/>
    </row>
    <row r="1549" s="1" customFormat="1" ht="18.75" spans="1:6">
      <c r="A1549" s="56">
        <v>2</v>
      </c>
      <c r="B1549" s="57" t="s">
        <v>1216</v>
      </c>
      <c r="C1549" s="56">
        <v>10</v>
      </c>
      <c r="D1549" s="56">
        <v>5</v>
      </c>
      <c r="E1549" s="56">
        <v>5</v>
      </c>
      <c r="F1549" s="56"/>
    </row>
    <row r="1550" s="1" customFormat="1" ht="18.75" spans="1:6">
      <c r="A1550" s="56"/>
      <c r="B1550" s="42" t="s">
        <v>1217</v>
      </c>
      <c r="C1550" s="56"/>
      <c r="D1550" s="8"/>
      <c r="E1550" s="8"/>
      <c r="F1550" s="56"/>
    </row>
    <row r="1551" s="1" customFormat="1" ht="18.75" spans="1:6">
      <c r="A1551" s="56"/>
      <c r="B1551" s="42" t="s">
        <v>1218</v>
      </c>
      <c r="C1551" s="56"/>
      <c r="D1551" s="8"/>
      <c r="E1551" s="8"/>
      <c r="F1551" s="56"/>
    </row>
    <row r="1552" s="1" customFormat="1" ht="18.75" spans="1:6">
      <c r="A1552" s="56"/>
      <c r="B1552" s="42" t="s">
        <v>1219</v>
      </c>
      <c r="C1552" s="56"/>
      <c r="D1552" s="8"/>
      <c r="E1552" s="8"/>
      <c r="F1552" s="56"/>
    </row>
    <row r="1553" s="1" customFormat="1" ht="37.5" spans="1:6">
      <c r="A1553" s="56"/>
      <c r="B1553" s="42" t="s">
        <v>1220</v>
      </c>
      <c r="C1553" s="56"/>
      <c r="D1553" s="8"/>
      <c r="E1553" s="8"/>
      <c r="F1553" s="56"/>
    </row>
    <row r="1554" s="1" customFormat="1" ht="18.75" spans="1:6">
      <c r="A1554" s="56">
        <v>3</v>
      </c>
      <c r="B1554" s="57" t="s">
        <v>1221</v>
      </c>
      <c r="C1554" s="56">
        <v>10</v>
      </c>
      <c r="D1554" s="56">
        <v>5</v>
      </c>
      <c r="E1554" s="56">
        <v>5</v>
      </c>
      <c r="F1554" s="56"/>
    </row>
    <row r="1555" s="1" customFormat="1" ht="18.75" spans="1:6">
      <c r="A1555" s="56"/>
      <c r="B1555" s="42" t="s">
        <v>1222</v>
      </c>
      <c r="C1555" s="56"/>
      <c r="D1555" s="8"/>
      <c r="E1555" s="8"/>
      <c r="F1555" s="56"/>
    </row>
    <row r="1556" s="1" customFormat="1" ht="18.75" spans="1:6">
      <c r="A1556" s="56"/>
      <c r="B1556" s="42" t="s">
        <v>1223</v>
      </c>
      <c r="C1556" s="71"/>
      <c r="D1556" s="58"/>
      <c r="E1556" s="58"/>
      <c r="F1556" s="71"/>
    </row>
    <row r="1557" s="1" customFormat="1" ht="18.75" spans="1:6">
      <c r="A1557" s="56"/>
      <c r="B1557" s="42" t="s">
        <v>1224</v>
      </c>
      <c r="C1557" s="71"/>
      <c r="D1557" s="58"/>
      <c r="E1557" s="58"/>
      <c r="F1557" s="71"/>
    </row>
    <row r="1558" s="1" customFormat="1" ht="18.75" spans="1:6">
      <c r="A1558" s="56"/>
      <c r="B1558" s="42" t="s">
        <v>1225</v>
      </c>
      <c r="C1558" s="71"/>
      <c r="D1558" s="58"/>
      <c r="E1558" s="58"/>
      <c r="F1558" s="71"/>
    </row>
    <row r="1559" s="1" customFormat="1" ht="37.5" spans="1:6">
      <c r="A1559" s="56"/>
      <c r="B1559" s="42" t="s">
        <v>1226</v>
      </c>
      <c r="C1559" s="71"/>
      <c r="D1559" s="58"/>
      <c r="E1559" s="58"/>
      <c r="F1559" s="71"/>
    </row>
    <row r="1560" s="1" customFormat="1" ht="37.5" spans="1:6">
      <c r="A1560" s="56"/>
      <c r="B1560" s="42" t="s">
        <v>1227</v>
      </c>
      <c r="C1560" s="71"/>
      <c r="D1560" s="58"/>
      <c r="E1560" s="58"/>
      <c r="F1560" s="71"/>
    </row>
    <row r="1561" s="1" customFormat="1" ht="18.75" spans="1:6">
      <c r="A1561" s="56"/>
      <c r="B1561" s="42" t="s">
        <v>1228</v>
      </c>
      <c r="C1561" s="71"/>
      <c r="D1561" s="58"/>
      <c r="E1561" s="58"/>
      <c r="F1561" s="71"/>
    </row>
    <row r="1562" s="1" customFormat="1" ht="18.75" spans="1:6">
      <c r="A1562" s="8"/>
      <c r="B1562" s="57" t="s">
        <v>494</v>
      </c>
      <c r="C1562" s="56">
        <v>2</v>
      </c>
      <c r="D1562" s="56"/>
      <c r="E1562" s="56"/>
      <c r="F1562" s="56">
        <v>2</v>
      </c>
    </row>
    <row r="1563" s="1" customFormat="1" ht="18.75" spans="1:6">
      <c r="A1563" s="8"/>
      <c r="B1563" s="69" t="s">
        <v>69</v>
      </c>
      <c r="C1563" s="8">
        <f t="shared" ref="C1563:F1563" si="98">SUM(C1543:C1562)</f>
        <v>32</v>
      </c>
      <c r="D1563" s="8">
        <f t="shared" si="98"/>
        <v>15</v>
      </c>
      <c r="E1563" s="8">
        <f t="shared" si="98"/>
        <v>15</v>
      </c>
      <c r="F1563" s="8">
        <f t="shared" si="98"/>
        <v>2</v>
      </c>
    </row>
    <row r="1564" s="1" customFormat="1" ht="32.25" customHeight="1" spans="1:6">
      <c r="B1564" s="90" t="s">
        <v>1188</v>
      </c>
      <c r="C1564" s="90"/>
      <c r="D1564" s="90"/>
      <c r="E1564" s="90"/>
      <c r="F1564" s="90"/>
    </row>
    <row r="1565" s="1" customFormat="1" ht="18.75" spans="1:6">
      <c r="A1565" s="2" t="s">
        <v>56</v>
      </c>
      <c r="B1565" s="31" t="str">
        <f>VLOOKUP(A1565,$A$7:$B$50,2,FALSE)</f>
        <v>Thực tập tốt nghiệp</v>
      </c>
    </row>
    <row r="1566" s="1" customFormat="1" ht="18.75" spans="1:6">
      <c r="A1566" s="46" t="s">
        <v>79</v>
      </c>
      <c r="B1566" s="46" t="s">
        <v>80</v>
      </c>
      <c r="C1566" s="46" t="s">
        <v>81</v>
      </c>
      <c r="D1566" s="46"/>
      <c r="E1566" s="46"/>
      <c r="F1566" s="46"/>
    </row>
    <row r="1567" s="1" customFormat="1" ht="75" spans="1:6">
      <c r="A1567" s="47"/>
      <c r="B1567" s="47"/>
      <c r="C1567" s="47" t="s">
        <v>7</v>
      </c>
      <c r="D1567" s="47" t="s">
        <v>9</v>
      </c>
      <c r="E1567" s="47" t="s">
        <v>82</v>
      </c>
      <c r="F1567" s="47" t="s">
        <v>11</v>
      </c>
    </row>
    <row r="1568" s="1" customFormat="1" ht="37.5" spans="1:6">
      <c r="A1568" s="56"/>
      <c r="B1568" s="69" t="s">
        <v>1229</v>
      </c>
      <c r="C1568" s="8">
        <v>160</v>
      </c>
      <c r="D1568" s="8"/>
      <c r="E1568" s="8">
        <v>160</v>
      </c>
      <c r="F1568" s="56"/>
    </row>
    <row r="1569" s="1" customFormat="1" ht="37.5" spans="1:6">
      <c r="A1569" s="56">
        <v>1</v>
      </c>
      <c r="B1569" s="57" t="s">
        <v>1230</v>
      </c>
      <c r="C1569" s="56">
        <v>10</v>
      </c>
      <c r="D1569" s="56"/>
      <c r="E1569" s="56">
        <v>10</v>
      </c>
      <c r="F1569" s="56"/>
    </row>
    <row r="1570" s="1" customFormat="1" ht="37.5" spans="1:6">
      <c r="A1570" s="56"/>
      <c r="B1570" s="57" t="s">
        <v>1231</v>
      </c>
      <c r="C1570" s="56"/>
      <c r="D1570" s="56"/>
      <c r="E1570" s="56"/>
      <c r="F1570" s="56"/>
    </row>
    <row r="1571" s="1" customFormat="1" ht="37.5" spans="1:6">
      <c r="A1571" s="56"/>
      <c r="B1571" s="57" t="s">
        <v>1123</v>
      </c>
      <c r="C1571" s="56"/>
      <c r="D1571" s="56"/>
      <c r="E1571" s="56"/>
      <c r="F1571" s="56"/>
    </row>
    <row r="1572" s="1" customFormat="1" ht="37.5" spans="1:6">
      <c r="A1572" s="56"/>
      <c r="B1572" s="57" t="s">
        <v>1232</v>
      </c>
      <c r="C1572" s="56"/>
      <c r="D1572" s="56"/>
      <c r="E1572" s="56"/>
      <c r="F1572" s="56"/>
    </row>
    <row r="1573" s="1" customFormat="1" ht="18.75" spans="1:6">
      <c r="A1573" s="56">
        <v>2</v>
      </c>
      <c r="B1573" s="57" t="s">
        <v>1126</v>
      </c>
      <c r="C1573" s="56">
        <v>30</v>
      </c>
      <c r="D1573" s="8"/>
      <c r="E1573" s="56">
        <v>30</v>
      </c>
      <c r="F1573" s="8"/>
    </row>
    <row r="1574" s="1" customFormat="1" ht="37.5" spans="1:6">
      <c r="A1574" s="56"/>
      <c r="B1574" s="57" t="s">
        <v>1233</v>
      </c>
      <c r="C1574" s="56"/>
      <c r="D1574" s="8"/>
      <c r="E1574" s="56"/>
      <c r="F1574" s="8"/>
    </row>
    <row r="1575" s="1" customFormat="1" ht="37.5" spans="1:6">
      <c r="A1575" s="56"/>
      <c r="B1575" s="57" t="s">
        <v>1234</v>
      </c>
      <c r="C1575" s="56"/>
      <c r="D1575" s="8"/>
      <c r="E1575" s="56"/>
      <c r="F1575" s="8"/>
    </row>
    <row r="1576" s="1" customFormat="1" ht="37.5" spans="1:6">
      <c r="A1576" s="56"/>
      <c r="B1576" s="57" t="s">
        <v>1235</v>
      </c>
      <c r="C1576" s="56"/>
      <c r="D1576" s="8"/>
      <c r="E1576" s="56"/>
      <c r="F1576" s="8"/>
    </row>
    <row r="1577" s="1" customFormat="1" ht="37.5" spans="1:6">
      <c r="A1577" s="56">
        <v>3</v>
      </c>
      <c r="B1577" s="57" t="s">
        <v>1236</v>
      </c>
      <c r="C1577" s="56">
        <v>30</v>
      </c>
      <c r="D1577" s="56"/>
      <c r="E1577" s="56">
        <v>30</v>
      </c>
      <c r="F1577" s="56"/>
    </row>
    <row r="1578" s="1" customFormat="1" ht="37.5" spans="1:6">
      <c r="A1578" s="56"/>
      <c r="B1578" s="57" t="s">
        <v>1237</v>
      </c>
      <c r="C1578" s="56"/>
      <c r="D1578" s="56"/>
      <c r="E1578" s="56"/>
      <c r="F1578" s="56"/>
    </row>
    <row r="1579" s="1" customFormat="1" ht="37.5" spans="1:6">
      <c r="A1579" s="56"/>
      <c r="B1579" s="57" t="s">
        <v>1238</v>
      </c>
      <c r="C1579" s="56"/>
      <c r="D1579" s="56"/>
      <c r="E1579" s="56"/>
      <c r="F1579" s="56"/>
    </row>
    <row r="1580" s="1" customFormat="1" ht="37.5" spans="1:6">
      <c r="A1580" s="56"/>
      <c r="B1580" s="57" t="s">
        <v>1239</v>
      </c>
      <c r="C1580" s="56"/>
      <c r="D1580" s="56"/>
      <c r="E1580" s="56"/>
      <c r="F1580" s="56"/>
    </row>
    <row r="1581" s="1" customFormat="1" ht="18.75" spans="1:6">
      <c r="A1581" s="56">
        <v>4</v>
      </c>
      <c r="B1581" s="57" t="s">
        <v>1240</v>
      </c>
      <c r="C1581" s="56">
        <v>30</v>
      </c>
      <c r="D1581" s="56"/>
      <c r="E1581" s="56">
        <v>30</v>
      </c>
      <c r="F1581" s="56"/>
    </row>
    <row r="1582" s="1" customFormat="1" ht="56.25" spans="1:6">
      <c r="A1582" s="56"/>
      <c r="B1582" s="57" t="s">
        <v>1241</v>
      </c>
      <c r="C1582" s="56"/>
      <c r="D1582" s="56"/>
      <c r="E1582" s="56"/>
      <c r="F1582" s="56"/>
    </row>
    <row r="1583" s="1" customFormat="1" ht="37.5" spans="1:6">
      <c r="A1583" s="56"/>
      <c r="B1583" s="57" t="s">
        <v>1242</v>
      </c>
      <c r="C1583" s="56"/>
      <c r="D1583" s="56"/>
      <c r="E1583" s="56"/>
      <c r="F1583" s="56"/>
    </row>
    <row r="1584" s="1" customFormat="1" ht="37.5" spans="1:6">
      <c r="A1584" s="56">
        <v>5</v>
      </c>
      <c r="B1584" s="57" t="s">
        <v>1243</v>
      </c>
      <c r="C1584" s="56">
        <v>30</v>
      </c>
      <c r="D1584" s="56"/>
      <c r="E1584" s="56">
        <v>30</v>
      </c>
      <c r="F1584" s="56"/>
    </row>
    <row r="1585" s="1" customFormat="1" ht="37.5" spans="1:6">
      <c r="A1585" s="56"/>
      <c r="B1585" s="57" t="s">
        <v>1244</v>
      </c>
      <c r="C1585" s="56"/>
      <c r="D1585" s="56"/>
      <c r="E1585" s="56"/>
      <c r="F1585" s="56"/>
    </row>
    <row r="1586" s="1" customFormat="1" ht="37.5" spans="1:6">
      <c r="A1586" s="56"/>
      <c r="B1586" s="57" t="s">
        <v>1245</v>
      </c>
      <c r="C1586" s="56"/>
      <c r="D1586" s="56"/>
      <c r="E1586" s="56"/>
      <c r="F1586" s="56"/>
    </row>
    <row r="1587" s="1" customFormat="1" ht="37.5" spans="1:6">
      <c r="A1587" s="56"/>
      <c r="B1587" s="57" t="s">
        <v>1246</v>
      </c>
      <c r="C1587" s="56"/>
      <c r="D1587" s="56"/>
      <c r="E1587" s="56"/>
      <c r="F1587" s="56"/>
    </row>
    <row r="1588" s="1" customFormat="1" ht="37.5" spans="1:6">
      <c r="A1588" s="56">
        <v>6</v>
      </c>
      <c r="B1588" s="57" t="s">
        <v>1247</v>
      </c>
      <c r="C1588" s="56">
        <v>20</v>
      </c>
      <c r="D1588" s="56"/>
      <c r="E1588" s="56">
        <v>20</v>
      </c>
      <c r="F1588" s="56"/>
    </row>
    <row r="1589" s="1" customFormat="1" ht="18.75" spans="1:6">
      <c r="A1589" s="56"/>
      <c r="B1589" s="57" t="s">
        <v>1248</v>
      </c>
      <c r="C1589" s="56"/>
      <c r="D1589" s="56"/>
      <c r="E1589" s="56"/>
      <c r="F1589" s="56"/>
    </row>
    <row r="1590" s="1" customFormat="1" ht="18.75" spans="1:6">
      <c r="A1590" s="56"/>
      <c r="B1590" s="57" t="s">
        <v>1249</v>
      </c>
      <c r="C1590" s="56"/>
      <c r="D1590" s="56"/>
      <c r="E1590" s="56"/>
      <c r="F1590" s="56"/>
    </row>
    <row r="1591" s="1" customFormat="1" ht="37.5" spans="1:6">
      <c r="A1591" s="56"/>
      <c r="B1591" s="57" t="s">
        <v>1250</v>
      </c>
      <c r="C1591" s="56"/>
      <c r="D1591" s="56"/>
      <c r="E1591" s="56"/>
      <c r="F1591" s="56"/>
    </row>
    <row r="1592" s="1" customFormat="1" ht="37.5" spans="1:6">
      <c r="A1592" s="56"/>
      <c r="B1592" s="69" t="s">
        <v>1251</v>
      </c>
      <c r="C1592" s="8">
        <v>110</v>
      </c>
      <c r="D1592" s="8"/>
      <c r="E1592" s="8">
        <v>110</v>
      </c>
      <c r="F1592" s="8"/>
    </row>
    <row r="1593" s="1" customFormat="1" ht="37.5" spans="1:6">
      <c r="A1593" s="56">
        <v>1</v>
      </c>
      <c r="B1593" s="57" t="s">
        <v>1154</v>
      </c>
      <c r="C1593" s="56">
        <v>30</v>
      </c>
      <c r="D1593" s="56"/>
      <c r="E1593" s="56">
        <v>30</v>
      </c>
      <c r="F1593" s="56"/>
    </row>
    <row r="1594" s="1" customFormat="1" ht="37.5" spans="1:6">
      <c r="A1594" s="56"/>
      <c r="B1594" s="57" t="s">
        <v>1155</v>
      </c>
      <c r="C1594" s="56"/>
      <c r="D1594" s="56"/>
      <c r="E1594" s="56"/>
      <c r="F1594" s="56"/>
    </row>
    <row r="1595" s="1" customFormat="1" ht="37.5" spans="1:6">
      <c r="A1595" s="56"/>
      <c r="B1595" s="57" t="s">
        <v>1156</v>
      </c>
      <c r="C1595" s="56"/>
      <c r="D1595" s="56"/>
      <c r="E1595" s="56"/>
      <c r="F1595" s="56"/>
    </row>
    <row r="1596" s="1" customFormat="1" ht="37.5" spans="1:6">
      <c r="A1596" s="56"/>
      <c r="B1596" s="57" t="s">
        <v>1157</v>
      </c>
      <c r="C1596" s="56"/>
      <c r="D1596" s="56"/>
      <c r="E1596" s="56"/>
      <c r="F1596" s="56"/>
    </row>
    <row r="1597" s="1" customFormat="1" ht="37.5" spans="1:6">
      <c r="A1597" s="56">
        <v>2</v>
      </c>
      <c r="B1597" s="69" t="s">
        <v>1158</v>
      </c>
      <c r="C1597" s="56">
        <v>30</v>
      </c>
      <c r="D1597" s="56"/>
      <c r="E1597" s="56">
        <v>30</v>
      </c>
      <c r="F1597" s="56"/>
    </row>
    <row r="1598" s="1" customFormat="1" ht="37.5" spans="1:6">
      <c r="A1598" s="56"/>
      <c r="B1598" s="57" t="s">
        <v>1252</v>
      </c>
      <c r="C1598" s="56"/>
      <c r="D1598" s="56"/>
      <c r="E1598" s="56"/>
      <c r="F1598" s="56"/>
    </row>
    <row r="1599" s="1" customFormat="1" ht="18.75" spans="1:6">
      <c r="A1599" s="56"/>
      <c r="B1599" s="57" t="s">
        <v>1160</v>
      </c>
      <c r="C1599" s="56"/>
      <c r="D1599" s="56"/>
      <c r="E1599" s="56"/>
      <c r="F1599" s="56"/>
    </row>
    <row r="1600" s="1" customFormat="1" ht="37.5" spans="1:6">
      <c r="A1600" s="56"/>
      <c r="B1600" s="57" t="s">
        <v>1161</v>
      </c>
      <c r="C1600" s="56"/>
      <c r="D1600" s="56"/>
      <c r="E1600" s="56"/>
      <c r="F1600" s="56"/>
    </row>
    <row r="1601" s="1" customFormat="1" ht="37.5" spans="1:6">
      <c r="A1601" s="56">
        <v>3</v>
      </c>
      <c r="B1601" s="57" t="s">
        <v>1162</v>
      </c>
      <c r="C1601" s="56">
        <v>30</v>
      </c>
      <c r="D1601" s="56"/>
      <c r="E1601" s="56">
        <v>30</v>
      </c>
      <c r="F1601" s="56"/>
    </row>
    <row r="1602" s="1" customFormat="1" ht="37.5" spans="1:6">
      <c r="A1602" s="56"/>
      <c r="B1602" s="57" t="s">
        <v>1163</v>
      </c>
      <c r="C1602" s="56"/>
      <c r="D1602" s="56"/>
      <c r="E1602" s="56"/>
      <c r="F1602" s="56"/>
    </row>
    <row r="1603" s="1" customFormat="1" ht="18.75" spans="1:6">
      <c r="A1603" s="56"/>
      <c r="B1603" s="57" t="s">
        <v>1164</v>
      </c>
      <c r="C1603" s="56"/>
      <c r="D1603" s="56"/>
      <c r="E1603" s="56"/>
      <c r="F1603" s="56"/>
    </row>
    <row r="1604" s="1" customFormat="1" ht="18.75" spans="1:6">
      <c r="A1604" s="56"/>
      <c r="B1604" s="57" t="s">
        <v>1165</v>
      </c>
      <c r="C1604" s="56"/>
      <c r="D1604" s="56"/>
      <c r="E1604" s="56"/>
      <c r="F1604" s="56"/>
    </row>
    <row r="1605" s="1" customFormat="1" ht="37.5" spans="1:6">
      <c r="A1605" s="56">
        <v>4</v>
      </c>
      <c r="B1605" s="57" t="s">
        <v>1166</v>
      </c>
      <c r="C1605" s="56">
        <v>30</v>
      </c>
      <c r="D1605" s="56"/>
      <c r="E1605" s="56">
        <v>30</v>
      </c>
      <c r="F1605" s="56"/>
    </row>
    <row r="1606" s="1" customFormat="1" ht="18.75" spans="1:6">
      <c r="A1606" s="56"/>
      <c r="B1606" s="57" t="s">
        <v>1167</v>
      </c>
      <c r="C1606" s="56"/>
      <c r="D1606" s="56"/>
      <c r="E1606" s="56"/>
      <c r="F1606" s="56"/>
    </row>
    <row r="1607" s="1" customFormat="1" ht="37.5" spans="1:6">
      <c r="A1607" s="56"/>
      <c r="B1607" s="57" t="s">
        <v>1168</v>
      </c>
      <c r="C1607" s="56"/>
      <c r="D1607" s="56"/>
      <c r="E1607" s="56"/>
      <c r="F1607" s="56"/>
    </row>
    <row r="1608" s="1" customFormat="1" ht="37.5" spans="1:6">
      <c r="A1608" s="56"/>
      <c r="B1608" s="57" t="s">
        <v>1169</v>
      </c>
      <c r="C1608" s="56"/>
      <c r="D1608" s="56"/>
      <c r="E1608" s="56"/>
      <c r="F1608" s="56"/>
    </row>
    <row r="1609" s="1" customFormat="1" ht="18.75" spans="1:6">
      <c r="A1609" s="56"/>
      <c r="B1609" s="57" t="s">
        <v>980</v>
      </c>
      <c r="C1609" s="56">
        <v>10</v>
      </c>
      <c r="D1609" s="56"/>
      <c r="E1609" s="56"/>
      <c r="F1609" s="56">
        <v>10</v>
      </c>
    </row>
    <row r="1610" s="1" customFormat="1" ht="18.75" spans="1:6">
      <c r="A1610" s="56"/>
      <c r="B1610" s="57" t="s">
        <v>69</v>
      </c>
      <c r="C1610" s="8">
        <f t="shared" ref="C1610:F1610" si="99">SUM(C1568,C1592,C1609)</f>
        <v>280</v>
      </c>
      <c r="D1610" s="8"/>
      <c r="E1610" s="8">
        <f t="shared" si="99"/>
        <v>270</v>
      </c>
      <c r="F1610" s="8">
        <f t="shared" si="99"/>
        <v>10</v>
      </c>
    </row>
    <row r="1611" s="1" customFormat="1" ht="45.75" customHeight="1" spans="1:6">
      <c r="B1611" s="90" t="s">
        <v>981</v>
      </c>
      <c r="C1611" s="90"/>
      <c r="D1611" s="90"/>
      <c r="E1611" s="90"/>
      <c r="F1611" s="90"/>
    </row>
    <row r="1612" ht="15"/>
    <row r="1613" ht="15"/>
    <row r="1614" ht="15"/>
    <row r="1615" ht="15"/>
    <row r="1616" ht="15"/>
    <row r="1617" ht="15"/>
    <row r="1618" ht="15"/>
    <row r="1619" ht="15"/>
    <row r="1620" ht="15"/>
    <row r="1621" ht="15"/>
    <row r="1622" ht="15"/>
    <row r="1623" ht="15"/>
    <row r="1624" ht="15"/>
    <row r="1625" ht="15"/>
    <row r="1626" ht="15"/>
    <row r="1627" ht="15"/>
    <row r="1628" ht="15"/>
    <row r="1629" ht="15"/>
    <row r="1630" ht="15"/>
    <row r="1631" ht="15"/>
    <row r="1632" ht="15"/>
    <row r="1633" ht="15"/>
    <row r="1634" ht="15"/>
    <row r="1635" ht="15"/>
    <row r="1636" ht="15"/>
    <row r="1637" ht="15"/>
    <row r="1638" ht="15"/>
    <row r="1639" ht="15"/>
    <row r="1640" ht="15"/>
    <row r="1641" ht="15"/>
    <row r="1642" ht="15"/>
    <row r="1643" ht="15"/>
    <row r="1644" ht="15"/>
    <row r="1645" ht="15"/>
    <row r="1646" ht="15"/>
    <row r="1647" ht="15"/>
    <row r="1648" ht="15"/>
    <row r="1649" ht="15"/>
    <row r="1650" ht="15"/>
    <row r="1651" ht="15"/>
    <row r="1652" ht="15"/>
    <row r="1653" ht="15"/>
    <row r="1654" ht="15"/>
    <row r="1655" ht="15"/>
    <row r="1656" ht="15"/>
    <row r="1657" ht="15"/>
    <row r="1658" ht="15"/>
    <row r="1659" ht="15"/>
    <row r="1660" ht="15"/>
    <row r="1661" ht="15"/>
    <row r="1662" ht="15"/>
    <row r="1663" ht="15"/>
    <row r="1664" ht="15"/>
    <row r="1665" ht="15"/>
    <row r="1666" ht="15"/>
    <row r="1667" ht="15"/>
    <row r="1668" ht="15"/>
    <row r="1669" ht="15"/>
    <row r="1670" ht="15"/>
    <row r="1671" ht="15"/>
    <row r="1672" ht="15"/>
    <row r="1673" ht="15"/>
    <row r="1674" ht="15"/>
    <row r="1675" ht="15"/>
    <row r="1676" ht="15"/>
    <row r="1677" ht="15"/>
    <row r="1678" ht="15"/>
    <row r="1679" ht="15"/>
    <row r="1680" ht="15"/>
    <row r="1681" ht="15"/>
    <row r="1682" ht="15"/>
    <row r="1683" ht="15"/>
    <row r="1684" ht="15"/>
    <row r="1685" ht="15"/>
    <row r="1686" ht="15"/>
    <row r="1687" ht="15"/>
    <row r="1688" ht="15"/>
    <row r="1689" ht="15"/>
    <row r="1690" ht="15"/>
    <row r="1691" ht="15"/>
    <row r="1692" ht="15"/>
    <row r="1693" ht="15"/>
    <row r="1694" ht="15"/>
    <row r="1695" ht="15"/>
    <row r="1696" ht="15"/>
    <row r="1697" ht="15"/>
    <row r="1698" ht="15"/>
    <row r="1699" ht="15"/>
    <row r="1700" ht="15"/>
    <row r="1701" ht="15"/>
    <row r="1702" ht="15"/>
    <row r="1703" ht="15"/>
    <row r="1704" ht="15"/>
    <row r="1705" ht="15"/>
    <row r="1706" ht="15"/>
    <row r="1707" ht="15"/>
    <row r="1708" ht="15"/>
    <row r="1709" ht="15"/>
    <row r="1710" ht="15"/>
    <row r="1711" ht="15"/>
    <row r="1712" ht="15"/>
    <row r="1713" ht="15"/>
    <row r="1714" ht="15"/>
    <row r="1715" ht="15"/>
    <row r="1716" ht="15"/>
    <row r="1717" ht="15"/>
    <row r="1718" ht="15"/>
    <row r="1719" ht="15"/>
    <row r="1720" ht="15"/>
    <row r="1721" ht="15"/>
    <row r="1722" ht="15"/>
    <row r="1723" ht="15"/>
    <row r="1724" ht="15"/>
    <row r="1725" ht="15"/>
    <row r="1726" ht="15"/>
    <row r="1727" ht="15"/>
    <row r="1728" ht="15"/>
    <row r="1729" ht="15"/>
    <row r="1730" ht="15"/>
    <row r="1731" ht="15"/>
    <row r="1732" ht="15"/>
    <row r="1733" ht="15"/>
    <row r="1734" ht="15"/>
    <row r="1735" ht="15"/>
    <row r="1736" ht="15"/>
    <row r="1737" ht="15"/>
    <row r="1738" ht="15"/>
    <row r="1739" ht="15"/>
    <row r="1740" ht="15"/>
    <row r="1741" ht="15"/>
    <row r="1742" ht="15"/>
    <row r="1743" ht="15"/>
    <row r="1744" ht="15"/>
    <row r="1745" ht="15"/>
    <row r="1746" ht="15"/>
    <row r="1747" ht="15"/>
    <row r="1748" ht="15"/>
    <row r="1749" ht="15"/>
    <row r="1750" ht="15"/>
    <row r="1751" ht="15"/>
    <row r="1752" ht="15"/>
    <row r="1753" ht="15"/>
    <row r="1754" ht="15"/>
    <row r="1755" ht="15"/>
    <row r="1756" ht="15"/>
    <row r="1757" ht="15"/>
    <row r="1758" ht="15"/>
    <row r="1759" ht="15"/>
    <row r="1760" ht="15"/>
    <row r="1761" ht="15"/>
    <row r="1762" ht="15"/>
    <row r="1763" ht="15"/>
    <row r="1764" ht="15"/>
    <row r="1765" ht="15"/>
    <row r="1766" ht="15"/>
    <row r="1767" ht="15"/>
    <row r="1768" ht="15"/>
    <row r="1769" ht="15"/>
    <row r="1770" ht="15"/>
    <row r="1771" ht="15"/>
    <row r="1772" ht="15"/>
    <row r="1773" ht="15"/>
    <row r="1774" ht="15"/>
    <row r="1775" ht="15"/>
    <row r="1776" ht="15"/>
  </sheetData>
  <mergeCells count="218">
    <mergeCell ref="A1:H1"/>
    <mergeCell ref="A2:H2"/>
    <mergeCell ref="D3:G3"/>
    <mergeCell ref="E4:G4"/>
    <mergeCell ref="A52:H52"/>
    <mergeCell ref="A53:B53"/>
    <mergeCell ref="D54:G54"/>
    <mergeCell ref="E55:G55"/>
    <mergeCell ref="A65:B65"/>
    <mergeCell ref="A67:B67"/>
    <mergeCell ref="D68:G68"/>
    <mergeCell ref="E69:G69"/>
    <mergeCell ref="A78:B78"/>
    <mergeCell ref="A80:B80"/>
    <mergeCell ref="D81:G81"/>
    <mergeCell ref="E82:G82"/>
    <mergeCell ref="A91:B91"/>
    <mergeCell ref="A93:B93"/>
    <mergeCell ref="D94:G94"/>
    <mergeCell ref="E95:G95"/>
    <mergeCell ref="A101:B101"/>
    <mergeCell ref="A103:B103"/>
    <mergeCell ref="D104:G104"/>
    <mergeCell ref="E105:G105"/>
    <mergeCell ref="A115:B115"/>
    <mergeCell ref="A117:B117"/>
    <mergeCell ref="D118:G118"/>
    <mergeCell ref="E119:G119"/>
    <mergeCell ref="A127:B127"/>
    <mergeCell ref="A132:F132"/>
    <mergeCell ref="C134:F134"/>
    <mergeCell ref="B150:F150"/>
    <mergeCell ref="C152:F152"/>
    <mergeCell ref="B164:F164"/>
    <mergeCell ref="C166:F166"/>
    <mergeCell ref="B181:F181"/>
    <mergeCell ref="C183:F183"/>
    <mergeCell ref="B201:F201"/>
    <mergeCell ref="C203:F203"/>
    <mergeCell ref="B340:F340"/>
    <mergeCell ref="C342:F342"/>
    <mergeCell ref="B437:F437"/>
    <mergeCell ref="C439:F439"/>
    <mergeCell ref="B447:F447"/>
    <mergeCell ref="C449:F449"/>
    <mergeCell ref="B458:F458"/>
    <mergeCell ref="C460:F460"/>
    <mergeCell ref="B483:F483"/>
    <mergeCell ref="C485:F485"/>
    <mergeCell ref="B498:F498"/>
    <mergeCell ref="C500:F500"/>
    <mergeCell ref="B518:F518"/>
    <mergeCell ref="C520:F520"/>
    <mergeCell ref="B567:F567"/>
    <mergeCell ref="C569:F569"/>
    <mergeCell ref="B585:F585"/>
    <mergeCell ref="C587:F587"/>
    <mergeCell ref="B613:F613"/>
    <mergeCell ref="C615:F615"/>
    <mergeCell ref="B635:F635"/>
    <mergeCell ref="C637:F637"/>
    <mergeCell ref="B674:F674"/>
    <mergeCell ref="C676:F676"/>
    <mergeCell ref="B713:F713"/>
    <mergeCell ref="C715:F715"/>
    <mergeCell ref="B737:F737"/>
    <mergeCell ref="C739:F739"/>
    <mergeCell ref="B813:F813"/>
    <mergeCell ref="C815:F815"/>
    <mergeCell ref="B899:F899"/>
    <mergeCell ref="C901:F901"/>
    <mergeCell ref="B969:F969"/>
    <mergeCell ref="C971:F971"/>
    <mergeCell ref="B1011:F1011"/>
    <mergeCell ref="C1013:F1013"/>
    <mergeCell ref="B1048:F1048"/>
    <mergeCell ref="C1050:F1050"/>
    <mergeCell ref="B1073:F1073"/>
    <mergeCell ref="C1075:F1075"/>
    <mergeCell ref="B1144:F1144"/>
    <mergeCell ref="C1146:F1146"/>
    <mergeCell ref="B1198:F1198"/>
    <mergeCell ref="C1200:F1200"/>
    <mergeCell ref="A1238:B1238"/>
    <mergeCell ref="B1239:F1239"/>
    <mergeCell ref="C1241:F1241"/>
    <mergeCell ref="B1261:F1261"/>
    <mergeCell ref="C1263:F1263"/>
    <mergeCell ref="B1299:F1299"/>
    <mergeCell ref="C1301:F1301"/>
    <mergeCell ref="B1341:F1341"/>
    <mergeCell ref="C1343:F1343"/>
    <mergeCell ref="B1411:F1411"/>
    <mergeCell ref="C1413:F1413"/>
    <mergeCell ref="B1427:F1427"/>
    <mergeCell ref="C1429:F1429"/>
    <mergeCell ref="B1465:F1465"/>
    <mergeCell ref="C1467:F1467"/>
    <mergeCell ref="B1487:F1487"/>
    <mergeCell ref="C1489:F1489"/>
    <mergeCell ref="B1512:F1512"/>
    <mergeCell ref="C1514:F1514"/>
    <mergeCell ref="B1539:F1539"/>
    <mergeCell ref="C1541:F1541"/>
    <mergeCell ref="B1564:F1564"/>
    <mergeCell ref="C1566:F1566"/>
    <mergeCell ref="B1611:F1611"/>
    <mergeCell ref="A3:A5"/>
    <mergeCell ref="A54:A56"/>
    <mergeCell ref="A68:A70"/>
    <mergeCell ref="A81:A83"/>
    <mergeCell ref="A94:A96"/>
    <mergeCell ref="A104:A106"/>
    <mergeCell ref="A118:A120"/>
    <mergeCell ref="A134:A135"/>
    <mergeCell ref="A152:A153"/>
    <mergeCell ref="A166:A167"/>
    <mergeCell ref="A183:A184"/>
    <mergeCell ref="A203:A204"/>
    <mergeCell ref="A342:A343"/>
    <mergeCell ref="A439:A440"/>
    <mergeCell ref="A449:A450"/>
    <mergeCell ref="A460:A461"/>
    <mergeCell ref="A485:A486"/>
    <mergeCell ref="A500:A501"/>
    <mergeCell ref="A520:A521"/>
    <mergeCell ref="A569:A570"/>
    <mergeCell ref="A587:A588"/>
    <mergeCell ref="A615:A616"/>
    <mergeCell ref="A637:A638"/>
    <mergeCell ref="A676:A677"/>
    <mergeCell ref="A715:A716"/>
    <mergeCell ref="A739:A740"/>
    <mergeCell ref="A815:A816"/>
    <mergeCell ref="A901:A902"/>
    <mergeCell ref="A971:A972"/>
    <mergeCell ref="A1013:A1014"/>
    <mergeCell ref="A1050:A1051"/>
    <mergeCell ref="A1075:A1076"/>
    <mergeCell ref="A1146:A1147"/>
    <mergeCell ref="A1200:A1201"/>
    <mergeCell ref="A1241:A1242"/>
    <mergeCell ref="A1263:A1264"/>
    <mergeCell ref="A1301:A1302"/>
    <mergeCell ref="A1343:A1344"/>
    <mergeCell ref="A1413:A1414"/>
    <mergeCell ref="A1429:A1430"/>
    <mergeCell ref="A1467:A1468"/>
    <mergeCell ref="A1489:A1490"/>
    <mergeCell ref="A1514:A1515"/>
    <mergeCell ref="A1541:A1542"/>
    <mergeCell ref="A1566:A1567"/>
    <mergeCell ref="B3:B5"/>
    <mergeCell ref="B54:B56"/>
    <mergeCell ref="B68:B70"/>
    <mergeCell ref="B81:B83"/>
    <mergeCell ref="B94:B96"/>
    <mergeCell ref="B104:B106"/>
    <mergeCell ref="B118:B120"/>
    <mergeCell ref="B134:B135"/>
    <mergeCell ref="B152:B153"/>
    <mergeCell ref="B166:B167"/>
    <mergeCell ref="B183:B184"/>
    <mergeCell ref="B203:B204"/>
    <mergeCell ref="B342:B343"/>
    <mergeCell ref="B439:B440"/>
    <mergeCell ref="B449:B450"/>
    <mergeCell ref="B460:B461"/>
    <mergeCell ref="B485:B486"/>
    <mergeCell ref="B500:B501"/>
    <mergeCell ref="B520:B521"/>
    <mergeCell ref="B569:B570"/>
    <mergeCell ref="B587:B588"/>
    <mergeCell ref="B615:B616"/>
    <mergeCell ref="B637:B638"/>
    <mergeCell ref="B676:B677"/>
    <mergeCell ref="B715:B716"/>
    <mergeCell ref="B739:B740"/>
    <mergeCell ref="B815:B816"/>
    <mergeCell ref="B901:B902"/>
    <mergeCell ref="B971:B972"/>
    <mergeCell ref="B1013:B1014"/>
    <mergeCell ref="B1050:B1051"/>
    <mergeCell ref="B1075:B1076"/>
    <mergeCell ref="B1146:B1147"/>
    <mergeCell ref="B1200:B1201"/>
    <mergeCell ref="B1241:B1242"/>
    <mergeCell ref="B1263:B1264"/>
    <mergeCell ref="B1301:B1302"/>
    <mergeCell ref="B1343:B1344"/>
    <mergeCell ref="B1413:B1414"/>
    <mergeCell ref="B1429:B1430"/>
    <mergeCell ref="B1467:B1468"/>
    <mergeCell ref="B1489:B1490"/>
    <mergeCell ref="B1514:B1515"/>
    <mergeCell ref="B1541:B1542"/>
    <mergeCell ref="B1566:B1567"/>
    <mergeCell ref="C3:C5"/>
    <mergeCell ref="C54:C56"/>
    <mergeCell ref="C68:C70"/>
    <mergeCell ref="C81:C83"/>
    <mergeCell ref="C94:C96"/>
    <mergeCell ref="C104:C106"/>
    <mergeCell ref="C118:C120"/>
    <mergeCell ref="D4:D5"/>
    <mergeCell ref="D55:D56"/>
    <mergeCell ref="D69:D70"/>
    <mergeCell ref="D82:D83"/>
    <mergeCell ref="D95:D96"/>
    <mergeCell ref="D105:D106"/>
    <mergeCell ref="D119:D120"/>
    <mergeCell ref="H3:H5"/>
    <mergeCell ref="H54:H56"/>
    <mergeCell ref="H68:H70"/>
    <mergeCell ref="H81:H83"/>
    <mergeCell ref="H94:H96"/>
    <mergeCell ref="H104:H106"/>
    <mergeCell ref="H118:H120"/>
  </mergeCells>
  <conditionalFormatting sqref="B21">
    <cfRule type="duplicateValues" dxfId="0" priority="4"/>
  </conditionalFormatting>
  <conditionalFormatting sqref="B24">
    <cfRule type="duplicateValues" dxfId="0" priority="3"/>
  </conditionalFormatting>
  <conditionalFormatting sqref="B75">
    <cfRule type="duplicateValues" dxfId="0" priority="2"/>
  </conditionalFormatting>
  <conditionalFormatting sqref="B88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CDHC2-CNTT</dc:creator>
  <cp:lastModifiedBy>CDHC2-CNTT</cp:lastModifiedBy>
  <dcterms:created xsi:type="dcterms:W3CDTF">2026-07-16T11:39:41Z</dcterms:created>
  <dcterms:modified xsi:type="dcterms:W3CDTF">2026-07-16T11:43:25Z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E851080A69BA4636AC35E628284B4D90_11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