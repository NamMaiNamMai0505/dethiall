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2"/>
  </bookViews>
  <sheets>
    <sheet name="YS1B1" sheetId="22" r:id="rId1"/>
    <sheet name="D2B1" sheetId="23" r:id="rId2"/>
    <sheet name="ĐD2B1" sheetId="24" r:id="rId3"/>
    <sheet name="ĐD2B2" sheetId="25" r:id="rId4"/>
  </sheets>
  <definedNames>
    <definedName name="_xlnm.Print_Area" localSheetId="0">YS1B1!$A$1:$Z$20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<sst xmlns="http://schemas.openxmlformats.org/spreadsheetml/2006/main" count="527" uniqueCount="211">
  <si>
    <r>
      <rPr>
        <sz val="20"/>
        <color theme="1"/>
        <rFont val="Times New Roman"/>
        <charset val="134"/>
      </rPr>
      <t xml:space="preserve">TỔNG CỤC HẬU CẦN - KỸ THUẬT
</t>
    </r>
    <r>
      <rPr>
        <b/>
        <sz val="20"/>
        <color theme="1"/>
        <rFont val="Times New Roman"/>
        <charset val="134"/>
      </rPr>
      <t>TRƯỜNG CAO ĐẲNG HẬU CẦN 2</t>
    </r>
  </si>
  <si>
    <t>LỊCH HUẤN LUYỆN</t>
  </si>
  <si>
    <t xml:space="preserve">Lớp: </t>
  </si>
  <si>
    <t>CĐY1B1</t>
  </si>
  <si>
    <t>Học kỳ 2 năm học 2025-2026</t>
  </si>
  <si>
    <t>Đơn vị: Khoa Y học Lâm sàng</t>
  </si>
  <si>
    <t>Sĩ số: 25</t>
  </si>
  <si>
    <t>Số tổ : 02</t>
  </si>
  <si>
    <t>CN lớp: BSCK1 Phạm Xuân Thành</t>
  </si>
  <si>
    <t>Kính gửi:…………………………………………………..</t>
  </si>
  <si>
    <t>Phòng học: 208-H1</t>
  </si>
  <si>
    <t>Thứ</t>
  </si>
  <si>
    <t>Tháng</t>
  </si>
  <si>
    <t>7</t>
  </si>
  <si>
    <t xml:space="preserve">Tuần    </t>
  </si>
  <si>
    <t xml:space="preserve">  Tiết</t>
  </si>
  <si>
    <t>02
            08</t>
  </si>
  <si>
    <t>09
             15</t>
  </si>
  <si>
    <t>16
            22</t>
  </si>
  <si>
    <t>23
            29</t>
  </si>
  <si>
    <t>30
            05</t>
  </si>
  <si>
    <t>06
            12</t>
  </si>
  <si>
    <t>13
            19</t>
  </si>
  <si>
    <t>20
            26</t>
  </si>
  <si>
    <t>27
            03</t>
  </si>
  <si>
    <t>04
            10</t>
  </si>
  <si>
    <t>11
            17</t>
  </si>
  <si>
    <t>18
            24</t>
  </si>
  <si>
    <t>25
            31</t>
  </si>
  <si>
    <t>01
            07</t>
  </si>
  <si>
    <t>08
            14</t>
  </si>
  <si>
    <t>15
            21</t>
  </si>
  <si>
    <t>22
            28</t>
  </si>
  <si>
    <t>29
            05</t>
  </si>
  <si>
    <t>06
             12</t>
  </si>
  <si>
    <t>13
             19</t>
  </si>
  <si>
    <t>27
            02</t>
  </si>
  <si>
    <t>03
            09</t>
  </si>
  <si>
    <t>10
            16</t>
  </si>
  <si>
    <t>1 ÷ 5</t>
  </si>
  <si>
    <t>THI
Chính tr ị
 Thi HH, GP (L2)</t>
  </si>
  <si>
    <t>Nghỉ bù Giỗ tổ Hùng vương</t>
  </si>
  <si>
    <t>THI
SHDT</t>
  </si>
  <si>
    <t>TH</t>
  </si>
  <si>
    <t>Nghỉ hè 21/7/2025 - 16/8/2025
(Tổ chức học bù, học lại)</t>
  </si>
  <si>
    <t>6 ÷ 9</t>
  </si>
  <si>
    <t>THI
SXTK</t>
  </si>
  <si>
    <t>THI
VKSV</t>
  </si>
  <si>
    <t>THI
Pháp luật</t>
  </si>
  <si>
    <t>THI
GDTC</t>
  </si>
  <si>
    <t>THI PTTH</t>
  </si>
  <si>
    <t>THI
PL (l@)</t>
  </si>
  <si>
    <t xml:space="preserve">THI
Hoá sinh </t>
  </si>
  <si>
    <t>SHCB</t>
  </si>
  <si>
    <t>Ngày chiến thắng 30/4</t>
  </si>
  <si>
    <t>LT</t>
  </si>
  <si>
    <t>THI
TLHYĐ</t>
  </si>
  <si>
    <t>THI
TLHYĐ (L2)</t>
  </si>
  <si>
    <t>THI SLB</t>
  </si>
  <si>
    <t>THI
TH</t>
  </si>
  <si>
    <t>THI L2 TH</t>
  </si>
  <si>
    <t>Ngày quốc tế lao động 1/5</t>
  </si>
  <si>
    <t>THI L2</t>
  </si>
  <si>
    <t>THI XSTK (L2)</t>
  </si>
  <si>
    <t>THI  GDQP</t>
  </si>
  <si>
    <t>Ghi chú:</t>
  </si>
  <si>
    <r>
      <rPr>
        <sz val="16"/>
        <rFont val="Times New Roman"/>
        <charset val="134"/>
      </rPr>
      <t xml:space="preserve">Các khoa xây dựng phân công giảng dạy gửi về Phòng Đào tạo trước ngày 22 hằng tháng </t>
    </r>
    <r>
      <rPr>
        <i/>
        <sz val="16"/>
        <rFont val="Times New Roman"/>
        <charset val="134"/>
      </rPr>
      <t>(đồng chí Cù Hoàng Đức Huy nhận)</t>
    </r>
  </si>
  <si>
    <t>Mã</t>
  </si>
  <si>
    <t>TÊN MÔN HỌC</t>
  </si>
  <si>
    <t>KHOA</t>
  </si>
  <si>
    <t>TÍN CHỈ</t>
  </si>
  <si>
    <t>Thời gian học tập (giờ)</t>
  </si>
  <si>
    <t>Ghi chú</t>
  </si>
  <si>
    <t>KÝ HIỆU CHUNG:</t>
  </si>
  <si>
    <t>Thi</t>
  </si>
  <si>
    <t>Tổng</t>
  </si>
  <si>
    <t>SHCB: Sinh hoạt chi bộ</t>
  </si>
  <si>
    <t>M022K3</t>
  </si>
  <si>
    <t>Tin học và chuyển đổi số</t>
  </si>
  <si>
    <t>K3</t>
  </si>
  <si>
    <t>M033K4</t>
  </si>
  <si>
    <t>Hoá sinh</t>
  </si>
  <si>
    <t>K4</t>
  </si>
  <si>
    <t>Ngày     tháng      năm 2025</t>
  </si>
  <si>
    <t>M020K2</t>
  </si>
  <si>
    <t>Pháp luật</t>
  </si>
  <si>
    <t>K2</t>
  </si>
  <si>
    <t>NGƯỜI LÀM LỊCH</t>
  </si>
  <si>
    <t>KT. TRƯỞNG PHÒNG</t>
  </si>
  <si>
    <t>KT. HIỆU TRƯỞNG</t>
  </si>
  <si>
    <t>M001K1</t>
  </si>
  <si>
    <t>Giáo dục thể chất</t>
  </si>
  <si>
    <t>K1</t>
  </si>
  <si>
    <t>PHÓ TRƯỞNG PHÒNG</t>
  </si>
  <si>
    <t>PHÓ HIỆU TRƯỞNG ĐÀO TẠO</t>
  </si>
  <si>
    <t>M008K1</t>
  </si>
  <si>
    <t>Giáo dục QP và An ninh</t>
  </si>
  <si>
    <t>M029K4</t>
  </si>
  <si>
    <t>Vi sinh vật - Ký sinh trùng</t>
  </si>
  <si>
    <t>M031K4</t>
  </si>
  <si>
    <t>Sinh học và di truyền</t>
  </si>
  <si>
    <t>M021K2</t>
  </si>
  <si>
    <t>Tâm lý học - Y Đức</t>
  </si>
  <si>
    <t>M030K4</t>
  </si>
  <si>
    <t>Phẫu thuật thực hành</t>
  </si>
  <si>
    <t>Thượng uý Cù Hoàng Đức Huy</t>
  </si>
  <si>
    <t>Trung tá Nguyễn Quyết Tâm</t>
  </si>
  <si>
    <t>Đại tá Đặng Viết Điệp</t>
  </si>
  <si>
    <t>M034K4</t>
  </si>
  <si>
    <t>Sinh lý bệnh - Miễn dịch</t>
  </si>
  <si>
    <t>M024K3</t>
  </si>
  <si>
    <t>Xác suất thống kê y học</t>
  </si>
  <si>
    <t xml:space="preserve">Tổng số </t>
  </si>
  <si>
    <t>CĐD2B1</t>
  </si>
  <si>
    <t>Đơn vị: Khoa Dược</t>
  </si>
  <si>
    <t>Sĩ số: 22</t>
  </si>
  <si>
    <t>CN lớp: DSCK1 Nguyễn Địch Long</t>
  </si>
  <si>
    <t>Kính gửi:…………………………………………</t>
  </si>
  <si>
    <t>Phòng học: 207-H1</t>
  </si>
  <si>
    <t>02
             08</t>
  </si>
  <si>
    <t>09
               15</t>
  </si>
  <si>
    <t>16
              22</t>
  </si>
  <si>
    <t>23
              29</t>
  </si>
  <si>
    <t>30
              05</t>
  </si>
  <si>
    <t>06
              12</t>
  </si>
  <si>
    <t>13
              19</t>
  </si>
  <si>
    <t>20
              26</t>
  </si>
  <si>
    <t>27
              03</t>
  </si>
  <si>
    <t>04
              10</t>
  </si>
  <si>
    <t>11
              17</t>
  </si>
  <si>
    <t>18
              24</t>
  </si>
  <si>
    <t>25
              31</t>
  </si>
  <si>
    <t>01
              07</t>
  </si>
  <si>
    <t>08
              14</t>
  </si>
  <si>
    <t>15
              21</t>
  </si>
  <si>
    <t>22
              28</t>
  </si>
  <si>
    <t>29
             05</t>
  </si>
  <si>
    <t>27
             02</t>
  </si>
  <si>
    <t>03
              09</t>
  </si>
  <si>
    <t>10
             16</t>
  </si>
  <si>
    <t>THI
PPNCKH</t>
  </si>
  <si>
    <t>THI
HHC
(L2)</t>
  </si>
  <si>
    <t>THI
TACB (2)</t>
  </si>
  <si>
    <t>THI
HHC</t>
  </si>
  <si>
    <t>THI
TVD (L2)</t>
  </si>
  <si>
    <t>THI
TACB</t>
  </si>
  <si>
    <t>THI
VSV -KST</t>
  </si>
  <si>
    <t>THI
VSV -KST
(l2)</t>
  </si>
  <si>
    <t>THI
HOÁ SINH</t>
  </si>
  <si>
    <t>THI
HS (L2)</t>
  </si>
  <si>
    <t>THI
TVD</t>
  </si>
  <si>
    <t>THI
GDCT</t>
  </si>
  <si>
    <t>THI
GDCT
(L2)</t>
  </si>
  <si>
    <t>THI
PL</t>
  </si>
  <si>
    <t>THI
PL
(L2)</t>
  </si>
  <si>
    <t>THI
HD</t>
  </si>
  <si>
    <t>M023K3</t>
  </si>
  <si>
    <t>Tiếng Anh cơ bản</t>
  </si>
  <si>
    <t>M101K8</t>
  </si>
  <si>
    <t>Thực vật dược</t>
  </si>
  <si>
    <t>K8</t>
  </si>
  <si>
    <t>M025K3</t>
  </si>
  <si>
    <t>PP nghiên cứu khoa học</t>
  </si>
  <si>
    <t>M099K8</t>
  </si>
  <si>
    <t>Hoá hữu cơ</t>
  </si>
  <si>
    <t>M019K2</t>
  </si>
  <si>
    <t>Giáo dục chính trị</t>
  </si>
  <si>
    <t>M102K8</t>
  </si>
  <si>
    <t>Hoá dược</t>
  </si>
  <si>
    <t>CĐĐD2B1</t>
  </si>
  <si>
    <t>Đơn vị: Khoa Điều dưỡng</t>
  </si>
  <si>
    <t>Sĩ số: 35</t>
  </si>
  <si>
    <t>CN lớp: CN Đặng Thị Vân</t>
  </si>
  <si>
    <t>Phòng học: 205-H1</t>
  </si>
  <si>
    <t>Tuần</t>
  </si>
  <si>
    <t xml:space="preserve">Ngày   </t>
  </si>
  <si>
    <t>02
                                                                                                                                                                                                                                                                                                                                       08</t>
  </si>
  <si>
    <t xml:space="preserve"> 09
                    15</t>
  </si>
  <si>
    <t>THI ĐD2</t>
  </si>
  <si>
    <t>THI 
PL</t>
  </si>
  <si>
    <t>THI TH ĐD1, ĐD2</t>
  </si>
  <si>
    <t>THI
ĐD1
(l2)</t>
  </si>
  <si>
    <t>THI XSTK</t>
  </si>
  <si>
    <t>THI HS</t>
  </si>
  <si>
    <t>THI
XSTK
(L2)</t>
  </si>
  <si>
    <t>THI
CT</t>
  </si>
  <si>
    <t>THI 
TACN</t>
  </si>
  <si>
    <t>THI 
LẠI</t>
  </si>
  <si>
    <t>THI
VSV-KST</t>
  </si>
  <si>
    <t>THI
VSV-KST
(L2)</t>
  </si>
  <si>
    <t>THI
ĐD1</t>
  </si>
  <si>
    <t>THI
CT
(L2)</t>
  </si>
  <si>
    <t>Tiếng Anh chuyên ngành</t>
  </si>
  <si>
    <t>M0078K7</t>
  </si>
  <si>
    <t>Điều dưỡng cơ sở 1</t>
  </si>
  <si>
    <t>K7</t>
  </si>
  <si>
    <t>M0079K7</t>
  </si>
  <si>
    <t>Điều dưỡng cơ sở 2</t>
  </si>
  <si>
    <t>Chính trị</t>
  </si>
  <si>
    <t>M0033K4</t>
  </si>
  <si>
    <t>Xác xuất thống kê y học</t>
  </si>
  <si>
    <t>CĐĐD2B2</t>
  </si>
  <si>
    <t>CN lớp: CN Nguyễn Đình Tuấn</t>
  </si>
  <si>
    <t>Phòng học: 202-H1</t>
  </si>
  <si>
    <t>09
            15</t>
  </si>
  <si>
    <t>16
           22</t>
  </si>
  <si>
    <t>04
             10</t>
  </si>
  <si>
    <t>11
             17</t>
  </si>
  <si>
    <t>15
           21</t>
  </si>
  <si>
    <t>29
           05</t>
  </si>
  <si>
    <t>THI TACN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</si>
</sst>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69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20"/>
      <color theme="1"/>
      <name val="Times New Roman"/>
      <charset val="134"/>
    </font>
    <font>
      <b/>
      <sz val="48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20"/>
      <color theme="1"/>
      <name val="Times New Roman"/>
      <charset val="134"/>
    </font>
    <font>
      <sz val="16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8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sz val="8"/>
      <color theme="0"/>
      <name val="Times New Roman"/>
      <charset val="134"/>
    </font>
    <font>
      <b/>
      <sz val="8"/>
      <color theme="1"/>
      <name val="Times New Roman"/>
      <charset val="134"/>
    </font>
    <font>
      <b/>
      <sz val="16"/>
      <name val="Times New Roman"/>
      <charset val="134"/>
    </font>
    <font>
      <i/>
      <sz val="11"/>
      <name val="Times New Roman"/>
      <charset val="134"/>
    </font>
    <font>
      <sz val="11"/>
      <name val="Times New Roman"/>
      <charset val="134"/>
    </font>
    <font>
      <b/>
      <sz val="8"/>
      <color theme="0"/>
      <name val="Times New Roman"/>
      <charset val="134"/>
    </font>
    <font>
      <b/>
      <sz val="11"/>
      <name val="Times New Roman"/>
      <charset val="134"/>
    </font>
    <font>
      <b/>
      <sz val="8"/>
      <name val="Times New Roman"/>
      <charset val="134"/>
    </font>
    <font>
      <b/>
      <sz val="20"/>
      <name val="Times New Roman"/>
      <charset val="134"/>
    </font>
    <font>
      <b/>
      <sz val="10"/>
      <color theme="1"/>
      <name val="Times New Roman"/>
      <charset val="134"/>
    </font>
    <font>
      <b/>
      <sz val="36"/>
      <color rgb="FFFF0000"/>
      <name val="Times New Roman"/>
      <charset val="134"/>
    </font>
    <font>
      <sz val="36"/>
      <color theme="1"/>
      <name val="Times New Roman"/>
      <charset val="134"/>
    </font>
    <font>
      <sz val="36"/>
      <color theme="0"/>
      <name val="Times New Roman"/>
      <charset val="134"/>
    </font>
    <font>
      <b/>
      <sz val="18"/>
      <name val="Times New Roman"/>
      <charset val="134"/>
    </font>
    <font>
      <sz val="16"/>
      <name val="Times New Roman"/>
      <charset val="134"/>
    </font>
    <font>
      <sz val="11"/>
      <color rgb="FFFF0000"/>
      <name val="Times New Roman"/>
      <charset val="134"/>
    </font>
    <font>
      <sz val="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i/>
      <sz val="18"/>
      <color theme="1"/>
      <name val="Times New Roman"/>
      <charset val="134"/>
    </font>
    <font>
      <sz val="14"/>
      <color theme="0"/>
      <name val="Times New Roman"/>
      <charset val="134"/>
    </font>
    <font>
      <b/>
      <sz val="14"/>
      <color theme="0"/>
      <name val="Times New Roman"/>
      <charset val="134"/>
    </font>
    <font>
      <sz val="10"/>
      <color theme="0"/>
      <name val="Times New Roman"/>
      <charset val="134"/>
    </font>
    <font>
      <sz val="11"/>
      <color theme="0"/>
      <name val="Calibri"/>
      <charset val="134"/>
      <scheme val="minor"/>
    </font>
    <font>
      <sz val="10"/>
      <color theme="1"/>
      <name val="Times New Roman"/>
      <charset val="134"/>
    </font>
    <font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color theme="0"/>
      <name val="Times New Roman"/>
      <charset val="134"/>
    </font>
    <font>
      <b/>
      <sz val="11"/>
      <color theme="0"/>
      <name val="Times New Roman"/>
      <charset val="134"/>
    </font>
    <font>
      <b/>
      <sz val="10"/>
      <color theme="0"/>
      <name val="Times New Roman"/>
      <charset val="134"/>
    </font>
    <font>
      <sz val="12"/>
      <color theme="0"/>
      <name val="Times New Roman"/>
      <charset val="134"/>
    </font>
    <font>
      <b/>
      <sz val="9"/>
      <name val="Times New Roman"/>
      <charset val="134"/>
    </font>
    <font>
      <sz val="7"/>
      <color theme="0"/>
      <name val="Times New Roman"/>
      <charset val="134"/>
    </font>
    <font>
      <b/>
      <sz val="7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6"/>
      <name val="Times New Roman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89999084444715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19" borderId="82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83" applyNumberFormat="0" applyFill="0" applyAlignment="0" applyProtection="0">
      <alignment vertical="center"/>
    </xf>
    <xf numFmtId="0" fontId="55" fillId="0" borderId="83" applyNumberFormat="0" applyFill="0" applyAlignment="0" applyProtection="0">
      <alignment vertical="center"/>
    </xf>
    <xf numFmtId="0" fontId="56" fillId="0" borderId="84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0" borderId="85" applyNumberFormat="0" applyAlignment="0" applyProtection="0">
      <alignment vertical="center"/>
    </xf>
    <xf numFmtId="0" fontId="58" fillId="21" borderId="86" applyNumberFormat="0" applyAlignment="0" applyProtection="0">
      <alignment vertical="center"/>
    </xf>
    <xf numFmtId="0" fontId="59" fillId="21" borderId="85" applyNumberFormat="0" applyAlignment="0" applyProtection="0">
      <alignment vertical="center"/>
    </xf>
    <xf numFmtId="0" fontId="60" fillId="22" borderId="87" applyNumberFormat="0" applyAlignment="0" applyProtection="0">
      <alignment vertical="center"/>
    </xf>
    <xf numFmtId="0" fontId="61" fillId="0" borderId="88" applyNumberFormat="0" applyFill="0" applyAlignment="0" applyProtection="0">
      <alignment vertical="center"/>
    </xf>
    <xf numFmtId="0" fontId="62" fillId="0" borderId="89" applyNumberFormat="0" applyFill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</cellStyleXfs>
  <cellXfs count="70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vertical="center"/>
    </xf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16" fontId="6" fillId="0" borderId="16" xfId="0" applyNumberFormat="1" applyFont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textRotation="90" wrapText="1"/>
    </xf>
    <xf numFmtId="0" fontId="17" fillId="0" borderId="24" xfId="0" applyFont="1" applyBorder="1" applyAlignment="1">
      <alignment horizontal="center" vertical="center" textRotation="90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16" fontId="6" fillId="0" borderId="26" xfId="0" applyNumberFormat="1" applyFont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20" fillId="7" borderId="28" xfId="0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horizontal="center" vertical="center" wrapText="1"/>
    </xf>
    <xf numFmtId="0" fontId="15" fillId="7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/>
    </xf>
    <xf numFmtId="0" fontId="20" fillId="8" borderId="2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12" fillId="9" borderId="19" xfId="0" applyFont="1" applyFill="1" applyBorder="1" applyAlignment="1">
      <alignment horizontal="center" vertical="center" wrapText="1"/>
    </xf>
    <xf numFmtId="0" fontId="22" fillId="6" borderId="23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20" fillId="2" borderId="34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12" fillId="10" borderId="27" xfId="0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0" fontId="14" fillId="10" borderId="29" xfId="0" applyFont="1" applyFill="1" applyBorder="1" applyAlignment="1">
      <alignment horizontal="center" vertical="center" wrapText="1"/>
    </xf>
    <xf numFmtId="0" fontId="22" fillId="10" borderId="36" xfId="0" applyFont="1" applyFill="1" applyBorder="1" applyAlignment="1">
      <alignment horizontal="center" vertical="center" wrapText="1"/>
    </xf>
    <xf numFmtId="0" fontId="15" fillId="10" borderId="28" xfId="0" applyFont="1" applyFill="1" applyBorder="1" applyAlignment="1">
      <alignment horizontal="center" vertical="center" wrapText="1"/>
    </xf>
    <xf numFmtId="0" fontId="15" fillId="10" borderId="37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 wrapText="1"/>
    </xf>
    <xf numFmtId="0" fontId="24" fillId="4" borderId="38" xfId="0" applyFont="1" applyFill="1" applyBorder="1" applyAlignment="1">
      <alignment horizontal="center" vertical="center" wrapText="1"/>
    </xf>
    <xf numFmtId="0" fontId="12" fillId="10" borderId="37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8" borderId="40" xfId="0" applyFont="1" applyFill="1" applyBorder="1" applyAlignment="1">
      <alignment horizontal="center" vertical="center" wrapText="1"/>
    </xf>
    <xf numFmtId="0" fontId="12" fillId="8" borderId="37" xfId="0" applyFont="1" applyFill="1" applyBorder="1" applyAlignment="1">
      <alignment horizontal="center" vertical="center" wrapText="1"/>
    </xf>
    <xf numFmtId="0" fontId="12" fillId="8" borderId="41" xfId="0" applyFont="1" applyFill="1" applyBorder="1" applyAlignment="1">
      <alignment horizontal="center" vertical="center" wrapText="1"/>
    </xf>
    <xf numFmtId="0" fontId="12" fillId="8" borderId="42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left" vertical="center" wrapText="1"/>
    </xf>
    <xf numFmtId="0" fontId="26" fillId="0" borderId="0" xfId="0" applyFont="1"/>
    <xf numFmtId="0" fontId="12" fillId="3" borderId="33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" fillId="4" borderId="43" xfId="0" applyFont="1" applyFill="1" applyBorder="1" applyAlignment="1">
      <alignment horizontal="center" vertical="center" wrapText="1"/>
    </xf>
    <xf numFmtId="49" fontId="12" fillId="4" borderId="18" xfId="0" applyNumberFormat="1" applyFont="1" applyFill="1" applyBorder="1" applyAlignment="1">
      <alignment horizontal="center" vertical="center"/>
    </xf>
    <xf numFmtId="0" fontId="22" fillId="4" borderId="44" xfId="0" applyFont="1" applyFill="1" applyBorder="1" applyAlignment="1">
      <alignment horizontal="center" vertical="center" wrapText="1"/>
    </xf>
    <xf numFmtId="0" fontId="22" fillId="9" borderId="18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27" fillId="8" borderId="0" xfId="0" applyFont="1" applyFill="1"/>
    <xf numFmtId="0" fontId="12" fillId="2" borderId="27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2" fillId="9" borderId="36" xfId="0" applyFont="1" applyFill="1" applyBorder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0" fontId="12" fillId="9" borderId="28" xfId="0" applyFont="1" applyFill="1" applyBorder="1" applyAlignment="1">
      <alignment horizontal="center" vertical="center" wrapText="1"/>
    </xf>
    <xf numFmtId="0" fontId="12" fillId="9" borderId="41" xfId="0" applyFont="1" applyFill="1" applyBorder="1" applyAlignment="1">
      <alignment horizontal="center" vertical="center" wrapText="1"/>
    </xf>
    <xf numFmtId="0" fontId="12" fillId="9" borderId="43" xfId="0" applyFont="1" applyFill="1" applyBorder="1" applyAlignment="1">
      <alignment horizontal="center" vertical="center" wrapText="1"/>
    </xf>
    <xf numFmtId="0" fontId="15" fillId="7" borderId="37" xfId="0" applyFont="1" applyFill="1" applyBorder="1" applyAlignment="1">
      <alignment horizontal="center" vertical="center" wrapText="1"/>
    </xf>
    <xf numFmtId="49" fontId="15" fillId="7" borderId="37" xfId="0" applyNumberFormat="1" applyFont="1" applyFill="1" applyBorder="1" applyAlignment="1">
      <alignment horizontal="center" vertical="center"/>
    </xf>
    <xf numFmtId="0" fontId="15" fillId="7" borderId="39" xfId="0" applyFont="1" applyFill="1" applyBorder="1" applyAlignment="1">
      <alignment horizontal="center" vertical="center" wrapText="1"/>
    </xf>
    <xf numFmtId="0" fontId="15" fillId="2" borderId="40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/>
    </xf>
    <xf numFmtId="0" fontId="22" fillId="4" borderId="33" xfId="0" applyFont="1" applyFill="1" applyBorder="1" applyAlignment="1">
      <alignment horizontal="center" vertical="center" wrapText="1"/>
    </xf>
    <xf numFmtId="0" fontId="22" fillId="11" borderId="43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3" fillId="11" borderId="46" xfId="0" applyFont="1" applyFill="1" applyBorder="1" applyAlignment="1">
      <alignment horizontal="center" vertical="center" textRotation="90" wrapText="1"/>
    </xf>
    <xf numFmtId="0" fontId="16" fillId="11" borderId="35" xfId="0" applyFont="1" applyFill="1" applyBorder="1" applyAlignment="1">
      <alignment horizontal="center" vertical="center"/>
    </xf>
    <xf numFmtId="0" fontId="15" fillId="6" borderId="35" xfId="0" applyFont="1" applyFill="1" applyBorder="1" applyAlignment="1">
      <alignment horizontal="center" vertical="center" wrapText="1"/>
    </xf>
    <xf numFmtId="0" fontId="15" fillId="6" borderId="44" xfId="0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center" vertical="center" wrapText="1"/>
    </xf>
    <xf numFmtId="0" fontId="15" fillId="6" borderId="47" xfId="0" applyFont="1" applyFill="1" applyBorder="1" applyAlignment="1">
      <alignment horizontal="center" vertical="center" wrapText="1"/>
    </xf>
    <xf numFmtId="0" fontId="22" fillId="2" borderId="47" xfId="0" applyFont="1" applyFill="1" applyBorder="1" applyAlignment="1">
      <alignment horizontal="center" vertical="center" wrapText="1"/>
    </xf>
    <xf numFmtId="0" fontId="16" fillId="6" borderId="35" xfId="0" applyFont="1" applyFill="1" applyBorder="1" applyAlignment="1">
      <alignment horizontal="center" vertical="center" wrapText="1"/>
    </xf>
    <xf numFmtId="0" fontId="22" fillId="2" borderId="48" xfId="0" applyFont="1" applyFill="1" applyBorder="1" applyAlignment="1">
      <alignment horizontal="center" vertical="center" wrapText="1"/>
    </xf>
    <xf numFmtId="0" fontId="22" fillId="10" borderId="30" xfId="0" applyFont="1" applyFill="1" applyBorder="1" applyAlignment="1">
      <alignment horizontal="center" vertical="center" wrapText="1"/>
    </xf>
    <xf numFmtId="0" fontId="22" fillId="10" borderId="28" xfId="0" applyFont="1" applyFill="1" applyBorder="1" applyAlignment="1">
      <alignment horizontal="center" vertical="center" wrapText="1"/>
    </xf>
    <xf numFmtId="0" fontId="15" fillId="10" borderId="49" xfId="0" applyFont="1" applyFill="1" applyBorder="1" applyAlignment="1">
      <alignment horizontal="center" vertical="center" wrapText="1"/>
    </xf>
    <xf numFmtId="0" fontId="13" fillId="11" borderId="30" xfId="0" applyFont="1" applyFill="1" applyBorder="1" applyAlignment="1">
      <alignment horizontal="center" vertical="center" textRotation="90" wrapText="1"/>
    </xf>
    <xf numFmtId="0" fontId="14" fillId="10" borderId="28" xfId="0" applyFont="1" applyFill="1" applyBorder="1" applyAlignment="1">
      <alignment horizontal="center" vertical="center" wrapText="1"/>
    </xf>
    <xf numFmtId="0" fontId="14" fillId="2" borderId="49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2" fillId="8" borderId="28" xfId="0" applyFont="1" applyFill="1" applyBorder="1" applyAlignment="1">
      <alignment horizontal="center" vertical="center" wrapText="1"/>
    </xf>
    <xf numFmtId="0" fontId="22" fillId="8" borderId="29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20" fillId="3" borderId="23" xfId="0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textRotation="90" wrapText="1"/>
    </xf>
    <xf numFmtId="0" fontId="12" fillId="4" borderId="50" xfId="0" applyFont="1" applyFill="1" applyBorder="1" applyAlignment="1">
      <alignment horizontal="center" vertical="center" wrapText="1"/>
    </xf>
    <xf numFmtId="0" fontId="15" fillId="4" borderId="44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/>
    </xf>
    <xf numFmtId="0" fontId="16" fillId="2" borderId="50" xfId="0" applyFont="1" applyFill="1" applyBorder="1" applyAlignment="1">
      <alignment horizontal="center" vertical="center" wrapText="1"/>
    </xf>
    <xf numFmtId="0" fontId="16" fillId="2" borderId="44" xfId="0" applyFont="1" applyFill="1" applyBorder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16" fillId="2" borderId="47" xfId="0" applyFont="1" applyFill="1" applyBorder="1" applyAlignment="1">
      <alignment horizontal="center" vertical="center" wrapText="1"/>
    </xf>
    <xf numFmtId="16" fontId="6" fillId="0" borderId="51" xfId="0" applyNumberFormat="1" applyFont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4" fillId="6" borderId="38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 textRotation="90" wrapText="1"/>
    </xf>
    <xf numFmtId="0" fontId="12" fillId="11" borderId="13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53" xfId="0" applyFont="1" applyFill="1" applyBorder="1" applyAlignment="1">
      <alignment horizontal="center" vertical="center" wrapText="1"/>
    </xf>
    <xf numFmtId="0" fontId="15" fillId="2" borderId="54" xfId="0" applyFont="1" applyFill="1" applyBorder="1" applyAlignment="1">
      <alignment horizontal="center" vertical="center" wrapText="1"/>
    </xf>
    <xf numFmtId="0" fontId="20" fillId="2" borderId="55" xfId="0" applyFont="1" applyFill="1" applyBorder="1" applyAlignment="1">
      <alignment horizontal="center" vertical="center" wrapText="1"/>
    </xf>
    <xf numFmtId="0" fontId="16" fillId="2" borderId="56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textRotation="90" wrapText="1"/>
    </xf>
    <xf numFmtId="0" fontId="17" fillId="0" borderId="14" xfId="0" applyFont="1" applyBorder="1" applyAlignment="1">
      <alignment horizontal="center" vertical="center" textRotation="90" wrapText="1"/>
    </xf>
    <xf numFmtId="0" fontId="10" fillId="0" borderId="57" xfId="0" applyFont="1" applyBorder="1"/>
    <xf numFmtId="0" fontId="1" fillId="0" borderId="58" xfId="0" applyFont="1" applyBorder="1"/>
    <xf numFmtId="0" fontId="10" fillId="0" borderId="58" xfId="0" applyFont="1" applyBorder="1"/>
    <xf numFmtId="0" fontId="10" fillId="0" borderId="59" xfId="0" applyFont="1" applyBorder="1"/>
    <xf numFmtId="0" fontId="10" fillId="0" borderId="60" xfId="0" applyFont="1" applyBorder="1"/>
    <xf numFmtId="0" fontId="1" fillId="0" borderId="61" xfId="0" applyFont="1" applyBorder="1"/>
    <xf numFmtId="0" fontId="10" fillId="0" borderId="62" xfId="0" applyFont="1" applyBorder="1"/>
    <xf numFmtId="0" fontId="10" fillId="0" borderId="0" xfId="0" applyFont="1" applyBorder="1"/>
    <xf numFmtId="0" fontId="1" fillId="0" borderId="0" xfId="0" applyFont="1" applyBorder="1"/>
    <xf numFmtId="0" fontId="1" fillId="0" borderId="63" xfId="0" applyFont="1" applyBorder="1"/>
    <xf numFmtId="0" fontId="28" fillId="2" borderId="62" xfId="0" applyFont="1" applyFill="1" applyBorder="1" applyAlignment="1">
      <alignment horizontal="right" vertical="center"/>
    </xf>
    <xf numFmtId="0" fontId="28" fillId="2" borderId="0" xfId="0" applyFont="1" applyFill="1" applyBorder="1" applyAlignment="1">
      <alignment horizontal="right" vertical="center"/>
    </xf>
    <xf numFmtId="0" fontId="29" fillId="2" borderId="0" xfId="0" applyFont="1" applyFill="1" applyBorder="1" applyAlignment="1">
      <alignment horizontal="left" vertical="center" wrapText="1"/>
    </xf>
    <xf numFmtId="0" fontId="29" fillId="2" borderId="63" xfId="0" applyFont="1" applyFill="1" applyBorder="1" applyAlignment="1">
      <alignment horizontal="left" vertical="center" wrapText="1"/>
    </xf>
    <xf numFmtId="0" fontId="29" fillId="2" borderId="0" xfId="0" applyFont="1" applyFill="1" applyBorder="1" applyAlignment="1">
      <alignment vertical="center" wrapText="1"/>
    </xf>
    <xf numFmtId="0" fontId="18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28" fillId="2" borderId="62" xfId="0" applyFont="1" applyFill="1" applyBorder="1" applyAlignment="1">
      <alignment horizontal="center" vertical="center"/>
    </xf>
    <xf numFmtId="16" fontId="29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textRotation="90" wrapText="1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10" fillId="0" borderId="65" xfId="0" applyFont="1" applyBorder="1"/>
    <xf numFmtId="0" fontId="9" fillId="0" borderId="66" xfId="0" applyFont="1" applyBorder="1"/>
    <xf numFmtId="0" fontId="10" fillId="0" borderId="66" xfId="0" applyFont="1" applyBorder="1"/>
    <xf numFmtId="0" fontId="10" fillId="2" borderId="66" xfId="0" applyFont="1" applyFill="1" applyBorder="1"/>
    <xf numFmtId="0" fontId="1" fillId="0" borderId="69" xfId="0" applyFont="1" applyBorder="1"/>
    <xf numFmtId="0" fontId="9" fillId="0" borderId="21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71" xfId="0" applyFont="1" applyBorder="1" applyAlignment="1">
      <alignment horizontal="center" vertical="center" wrapText="1"/>
    </xf>
    <xf numFmtId="0" fontId="1" fillId="0" borderId="72" xfId="0" applyFont="1" applyBorder="1"/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10" fillId="6" borderId="73" xfId="0" applyFont="1" applyFill="1" applyBorder="1" applyAlignment="1">
      <alignment horizontal="center" vertical="center"/>
    </xf>
    <xf numFmtId="0" fontId="10" fillId="6" borderId="74" xfId="0" applyFont="1" applyFill="1" applyBorder="1" applyAlignment="1">
      <alignment horizontal="left"/>
    </xf>
    <xf numFmtId="0" fontId="10" fillId="6" borderId="75" xfId="0" applyFont="1" applyFill="1" applyBorder="1" applyAlignment="1">
      <alignment horizontal="left"/>
    </xf>
    <xf numFmtId="0" fontId="10" fillId="6" borderId="76" xfId="0" applyFont="1" applyFill="1" applyBorder="1" applyAlignment="1">
      <alignment horizontal="left"/>
    </xf>
    <xf numFmtId="0" fontId="10" fillId="6" borderId="23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/>
    </xf>
    <xf numFmtId="0" fontId="31" fillId="6" borderId="23" xfId="0" applyFont="1" applyFill="1" applyBorder="1" applyAlignment="1">
      <alignment horizontal="center" vertical="center" wrapText="1"/>
    </xf>
    <xf numFmtId="0" fontId="10" fillId="0" borderId="72" xfId="0" applyFont="1" applyBorder="1"/>
    <xf numFmtId="0" fontId="32" fillId="2" borderId="0" xfId="0" applyFont="1" applyFill="1" applyBorder="1" applyAlignment="1">
      <alignment horizontal="center" vertical="center"/>
    </xf>
    <xf numFmtId="0" fontId="10" fillId="2" borderId="0" xfId="0" applyFont="1" applyFill="1" applyBorder="1"/>
    <xf numFmtId="0" fontId="1" fillId="2" borderId="0" xfId="0" applyFont="1" applyFill="1" applyBorder="1"/>
    <xf numFmtId="0" fontId="8" fillId="0" borderId="0" xfId="0" applyFont="1" applyBorder="1"/>
    <xf numFmtId="0" fontId="13" fillId="0" borderId="0" xfId="0" applyFont="1" applyBorder="1"/>
    <xf numFmtId="0" fontId="0" fillId="6" borderId="23" xfId="0" applyFill="1" applyBorder="1" applyAlignment="1">
      <alignment horizontal="left"/>
    </xf>
    <xf numFmtId="0" fontId="33" fillId="0" borderId="0" xfId="0" applyFont="1" applyBorder="1" applyAlignment="1">
      <alignment horizontal="center"/>
    </xf>
    <xf numFmtId="0" fontId="10" fillId="4" borderId="73" xfId="0" applyFont="1" applyFill="1" applyBorder="1" applyAlignment="1">
      <alignment horizontal="center" vertical="center"/>
    </xf>
    <xf numFmtId="0" fontId="10" fillId="4" borderId="74" xfId="0" applyFont="1" applyFill="1" applyBorder="1" applyAlignment="1">
      <alignment horizontal="left"/>
    </xf>
    <xf numFmtId="0" fontId="10" fillId="4" borderId="75" xfId="0" applyFont="1" applyFill="1" applyBorder="1" applyAlignment="1">
      <alignment horizontal="left"/>
    </xf>
    <xf numFmtId="0" fontId="10" fillId="4" borderId="76" xfId="0" applyFont="1" applyFill="1" applyBorder="1" applyAlignment="1">
      <alignment horizontal="left"/>
    </xf>
    <xf numFmtId="0" fontId="10" fillId="4" borderId="23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8" fillId="0" borderId="7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/>
    <xf numFmtId="0" fontId="10" fillId="10" borderId="73" xfId="0" applyFont="1" applyFill="1" applyBorder="1" applyAlignment="1">
      <alignment horizontal="center" vertical="center"/>
    </xf>
    <xf numFmtId="0" fontId="10" fillId="10" borderId="74" xfId="0" applyFont="1" applyFill="1" applyBorder="1" applyAlignment="1">
      <alignment horizontal="left"/>
    </xf>
    <xf numFmtId="0" fontId="10" fillId="10" borderId="75" xfId="0" applyFont="1" applyFill="1" applyBorder="1" applyAlignment="1">
      <alignment horizontal="left"/>
    </xf>
    <xf numFmtId="0" fontId="10" fillId="10" borderId="76" xfId="0" applyFont="1" applyFill="1" applyBorder="1" applyAlignment="1">
      <alignment horizontal="left"/>
    </xf>
    <xf numFmtId="0" fontId="10" fillId="10" borderId="23" xfId="0" applyFont="1" applyFill="1" applyBorder="1" applyAlignment="1">
      <alignment horizontal="center" vertical="center"/>
    </xf>
    <xf numFmtId="0" fontId="10" fillId="10" borderId="23" xfId="0" applyNumberFormat="1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/>
    </xf>
    <xf numFmtId="0" fontId="0" fillId="10" borderId="23" xfId="0" applyFill="1" applyBorder="1" applyAlignment="1">
      <alignment horizontal="left"/>
    </xf>
    <xf numFmtId="0" fontId="0" fillId="0" borderId="0" xfId="0" applyBorder="1"/>
    <xf numFmtId="0" fontId="34" fillId="8" borderId="73" xfId="0" applyFont="1" applyFill="1" applyBorder="1" applyAlignment="1">
      <alignment horizontal="center" vertical="center"/>
    </xf>
    <xf numFmtId="0" fontId="34" fillId="8" borderId="74" xfId="0" applyFont="1" applyFill="1" applyBorder="1" applyAlignment="1">
      <alignment horizontal="left"/>
    </xf>
    <xf numFmtId="0" fontId="34" fillId="8" borderId="75" xfId="0" applyFont="1" applyFill="1" applyBorder="1" applyAlignment="1">
      <alignment horizontal="left"/>
    </xf>
    <xf numFmtId="0" fontId="34" fillId="8" borderId="76" xfId="0" applyFont="1" applyFill="1" applyBorder="1" applyAlignment="1">
      <alignment horizontal="left"/>
    </xf>
    <xf numFmtId="0" fontId="34" fillId="8" borderId="23" xfId="0" applyFont="1" applyFill="1" applyBorder="1" applyAlignment="1">
      <alignment horizontal="center"/>
    </xf>
    <xf numFmtId="0" fontId="34" fillId="8" borderId="23" xfId="0" applyFont="1" applyFill="1" applyBorder="1" applyAlignment="1">
      <alignment horizontal="center" vertical="center"/>
    </xf>
    <xf numFmtId="0" fontId="35" fillId="8" borderId="23" xfId="0" applyFont="1" applyFill="1" applyBorder="1" applyAlignment="1">
      <alignment horizontal="center"/>
    </xf>
    <xf numFmtId="0" fontId="36" fillId="8" borderId="23" xfId="0" applyFont="1" applyFill="1" applyBorder="1" applyAlignment="1">
      <alignment horizontal="left"/>
    </xf>
    <xf numFmtId="0" fontId="5" fillId="0" borderId="0" xfId="0" applyFont="1" applyBorder="1" applyAlignment="1">
      <alignment vertical="center"/>
    </xf>
    <xf numFmtId="0" fontId="34" fillId="3" borderId="73" xfId="0" applyFont="1" applyFill="1" applyBorder="1" applyAlignment="1">
      <alignment horizontal="center" vertical="center"/>
    </xf>
    <xf numFmtId="0" fontId="34" fillId="3" borderId="74" xfId="0" applyFont="1" applyFill="1" applyBorder="1" applyAlignment="1">
      <alignment horizontal="left"/>
    </xf>
    <xf numFmtId="0" fontId="34" fillId="3" borderId="75" xfId="0" applyFont="1" applyFill="1" applyBorder="1" applyAlignment="1">
      <alignment horizontal="left"/>
    </xf>
    <xf numFmtId="0" fontId="34" fillId="3" borderId="76" xfId="0" applyFont="1" applyFill="1" applyBorder="1" applyAlignment="1">
      <alignment horizontal="left"/>
    </xf>
    <xf numFmtId="0" fontId="34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/>
    </xf>
    <xf numFmtId="0" fontId="37" fillId="3" borderId="23" xfId="0" applyFont="1" applyFill="1" applyBorder="1" applyAlignment="1">
      <alignment horizontal="center"/>
    </xf>
    <xf numFmtId="0" fontId="34" fillId="7" borderId="73" xfId="0" applyFont="1" applyFill="1" applyBorder="1" applyAlignment="1">
      <alignment horizontal="center" vertical="center"/>
    </xf>
    <xf numFmtId="0" fontId="34" fillId="7" borderId="74" xfId="0" applyFont="1" applyFill="1" applyBorder="1" applyAlignment="1">
      <alignment horizontal="left"/>
    </xf>
    <xf numFmtId="0" fontId="34" fillId="7" borderId="75" xfId="0" applyFont="1" applyFill="1" applyBorder="1" applyAlignment="1">
      <alignment horizontal="left"/>
    </xf>
    <xf numFmtId="0" fontId="34" fillId="7" borderId="76" xfId="0" applyFont="1" applyFill="1" applyBorder="1" applyAlignment="1">
      <alignment horizontal="left"/>
    </xf>
    <xf numFmtId="0" fontId="34" fillId="7" borderId="23" xfId="0" applyFont="1" applyFill="1" applyBorder="1" applyAlignment="1">
      <alignment horizontal="center" vertical="center"/>
    </xf>
    <xf numFmtId="0" fontId="35" fillId="7" borderId="23" xfId="0" applyFont="1" applyFill="1" applyBorder="1" applyAlignment="1">
      <alignment horizontal="center"/>
    </xf>
    <xf numFmtId="17" fontId="37" fillId="7" borderId="23" xfId="0" applyNumberFormat="1" applyFont="1" applyFill="1" applyBorder="1" applyAlignment="1">
      <alignment horizontal="left"/>
    </xf>
    <xf numFmtId="0" fontId="10" fillId="10" borderId="23" xfId="0" applyFont="1" applyFill="1" applyBorder="1" applyAlignment="1">
      <alignment horizontal="center"/>
    </xf>
    <xf numFmtId="0" fontId="38" fillId="10" borderId="23" xfId="0" applyFont="1" applyFill="1" applyBorder="1" applyAlignment="1">
      <alignment horizontal="left"/>
    </xf>
    <xf numFmtId="0" fontId="39" fillId="8" borderId="23" xfId="0" applyFont="1" applyFill="1" applyBorder="1" applyAlignment="1">
      <alignment horizontal="center"/>
    </xf>
    <xf numFmtId="0" fontId="10" fillId="9" borderId="73" xfId="0" applyFont="1" applyFill="1" applyBorder="1" applyAlignment="1">
      <alignment horizontal="center" vertical="center"/>
    </xf>
    <xf numFmtId="0" fontId="10" fillId="9" borderId="74" xfId="0" applyFont="1" applyFill="1" applyBorder="1" applyAlignment="1">
      <alignment horizontal="left"/>
    </xf>
    <xf numFmtId="0" fontId="10" fillId="9" borderId="75" xfId="0" applyFont="1" applyFill="1" applyBorder="1" applyAlignment="1">
      <alignment horizontal="left"/>
    </xf>
    <xf numFmtId="0" fontId="10" fillId="9" borderId="76" xfId="0" applyFont="1" applyFill="1" applyBorder="1" applyAlignment="1">
      <alignment horizontal="left"/>
    </xf>
    <xf numFmtId="0" fontId="10" fillId="9" borderId="23" xfId="0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 vertical="center"/>
    </xf>
    <xf numFmtId="0" fontId="32" fillId="9" borderId="23" xfId="0" applyFont="1" applyFill="1" applyBorder="1" applyAlignment="1">
      <alignment horizontal="center"/>
    </xf>
    <xf numFmtId="0" fontId="40" fillId="9" borderId="23" xfId="0" applyFont="1" applyFill="1" applyBorder="1" applyAlignment="1">
      <alignment horizontal="center"/>
    </xf>
    <xf numFmtId="0" fontId="38" fillId="9" borderId="23" xfId="0" applyFont="1" applyFill="1" applyBorder="1" applyAlignment="1">
      <alignment horizontal="left"/>
    </xf>
    <xf numFmtId="0" fontId="8" fillId="0" borderId="63" xfId="0" applyFont="1" applyBorder="1" applyAlignment="1">
      <alignment horizontal="center"/>
    </xf>
    <xf numFmtId="0" fontId="9" fillId="0" borderId="7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8" fillId="0" borderId="13" xfId="0" applyFont="1" applyBorder="1" applyAlignment="1">
      <alignment horizontal="left"/>
    </xf>
    <xf numFmtId="0" fontId="0" fillId="0" borderId="58" xfId="0" applyBorder="1"/>
    <xf numFmtId="0" fontId="0" fillId="0" borderId="61" xfId="0" applyBorder="1"/>
    <xf numFmtId="0" fontId="10" fillId="0" borderId="0" xfId="0" applyFont="1"/>
    <xf numFmtId="0" fontId="34" fillId="0" borderId="0" xfId="0" applyFont="1"/>
    <xf numFmtId="0" fontId="8" fillId="0" borderId="6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9" fillId="0" borderId="62" xfId="0" applyFont="1" applyBorder="1" applyAlignment="1">
      <alignment horizontal="right" wrapText="1"/>
    </xf>
    <xf numFmtId="0" fontId="11" fillId="0" borderId="1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12" fillId="11" borderId="28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 wrapText="1"/>
    </xf>
    <xf numFmtId="0" fontId="15" fillId="4" borderId="28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 wrapText="1"/>
    </xf>
    <xf numFmtId="0" fontId="12" fillId="10" borderId="23" xfId="0" applyFont="1" applyFill="1" applyBorder="1" applyAlignment="1">
      <alignment horizontal="center" vertical="center" wrapText="1"/>
    </xf>
    <xf numFmtId="0" fontId="12" fillId="10" borderId="24" xfId="0" applyFont="1" applyFill="1" applyBorder="1" applyAlignment="1">
      <alignment horizontal="center" vertical="center" wrapText="1"/>
    </xf>
    <xf numFmtId="0" fontId="12" fillId="10" borderId="17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22" fillId="6" borderId="36" xfId="0" applyFont="1" applyFill="1" applyBorder="1" applyAlignment="1">
      <alignment horizontal="center" vertical="center" wrapText="1"/>
    </xf>
    <xf numFmtId="0" fontId="15" fillId="6" borderId="28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horizontal="center" vertical="center" wrapText="1"/>
    </xf>
    <xf numFmtId="0" fontId="12" fillId="6" borderId="37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40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" fillId="9" borderId="43" xfId="0" applyFont="1" applyFill="1" applyBorder="1" applyAlignment="1">
      <alignment horizontal="center" vertical="center" wrapText="1"/>
    </xf>
    <xf numFmtId="49" fontId="12" fillId="7" borderId="18" xfId="0" applyNumberFormat="1" applyFont="1" applyFill="1" applyBorder="1" applyAlignment="1">
      <alignment horizontal="center" vertical="center"/>
    </xf>
    <xf numFmtId="0" fontId="22" fillId="2" borderId="44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6" fillId="2" borderId="0" xfId="0" applyFont="1" applyFill="1"/>
    <xf numFmtId="0" fontId="12" fillId="3" borderId="36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4" borderId="43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5" fillId="4" borderId="37" xfId="0" applyFont="1" applyFill="1" applyBorder="1" applyAlignment="1">
      <alignment horizontal="center" vertical="center" wrapText="1"/>
    </xf>
    <xf numFmtId="49" fontId="15" fillId="4" borderId="37" xfId="0" applyNumberFormat="1" applyFont="1" applyFill="1" applyBorder="1" applyAlignment="1">
      <alignment horizontal="center" vertical="center"/>
    </xf>
    <xf numFmtId="0" fontId="15" fillId="4" borderId="39" xfId="0" applyFont="1" applyFill="1" applyBorder="1" applyAlignment="1">
      <alignment horizontal="center" vertical="center" wrapText="1"/>
    </xf>
    <xf numFmtId="0" fontId="15" fillId="4" borderId="40" xfId="0" applyFont="1" applyFill="1" applyBorder="1" applyAlignment="1">
      <alignment horizontal="center" vertical="center" wrapText="1"/>
    </xf>
    <xf numFmtId="0" fontId="20" fillId="2" borderId="40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/>
    </xf>
    <xf numFmtId="0" fontId="22" fillId="10" borderId="33" xfId="0" applyFont="1" applyFill="1" applyBorder="1" applyAlignment="1">
      <alignment horizontal="center" vertical="center" wrapText="1"/>
    </xf>
    <xf numFmtId="0" fontId="12" fillId="10" borderId="35" xfId="0" applyFont="1" applyFill="1" applyBorder="1" applyAlignment="1">
      <alignment horizontal="center" vertical="center" wrapText="1"/>
    </xf>
    <xf numFmtId="0" fontId="15" fillId="10" borderId="35" xfId="0" applyFont="1" applyFill="1" applyBorder="1" applyAlignment="1">
      <alignment horizontal="center" vertical="center" wrapText="1"/>
    </xf>
    <xf numFmtId="0" fontId="16" fillId="8" borderId="44" xfId="0" applyFont="1" applyFill="1" applyBorder="1" applyAlignment="1">
      <alignment horizontal="center" vertical="center" wrapText="1"/>
    </xf>
    <xf numFmtId="0" fontId="15" fillId="8" borderId="35" xfId="0" applyFont="1" applyFill="1" applyBorder="1" applyAlignment="1">
      <alignment horizontal="center" vertical="center" wrapText="1"/>
    </xf>
    <xf numFmtId="0" fontId="15" fillId="8" borderId="47" xfId="0" applyFont="1" applyFill="1" applyBorder="1" applyAlignment="1">
      <alignment horizontal="center" vertical="center" wrapText="1"/>
    </xf>
    <xf numFmtId="0" fontId="15" fillId="8" borderId="44" xfId="0" applyFont="1" applyFill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center" wrapText="1"/>
    </xf>
    <xf numFmtId="0" fontId="22" fillId="6" borderId="35" xfId="0" applyFont="1" applyFill="1" applyBorder="1" applyAlignment="1">
      <alignment horizontal="center" vertical="center" wrapText="1"/>
    </xf>
    <xf numFmtId="0" fontId="22" fillId="6" borderId="30" xfId="0" applyFont="1" applyFill="1" applyBorder="1" applyAlignment="1">
      <alignment horizontal="center" vertical="center" wrapText="1"/>
    </xf>
    <xf numFmtId="0" fontId="22" fillId="6" borderId="28" xfId="0" applyFont="1" applyFill="1" applyBorder="1" applyAlignment="1">
      <alignment horizontal="center" vertical="center" wrapText="1"/>
    </xf>
    <xf numFmtId="0" fontId="22" fillId="2" borderId="23" xfId="0" applyFont="1" applyFill="1" applyBorder="1" applyAlignment="1">
      <alignment horizontal="center" vertical="center" wrapText="1"/>
    </xf>
    <xf numFmtId="0" fontId="12" fillId="6" borderId="49" xfId="0" applyFont="1" applyFill="1" applyBorder="1" applyAlignment="1">
      <alignment horizontal="center" vertical="center" wrapText="1"/>
    </xf>
    <xf numFmtId="0" fontId="12" fillId="6" borderId="30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12" fillId="7" borderId="50" xfId="0" applyFont="1" applyFill="1" applyBorder="1" applyAlignment="1">
      <alignment horizontal="center" vertical="center" wrapText="1"/>
    </xf>
    <xf numFmtId="0" fontId="15" fillId="2" borderId="44" xfId="0" applyFont="1" applyFill="1" applyBorder="1" applyAlignment="1">
      <alignment horizontal="center" vertical="center" wrapText="1"/>
    </xf>
    <xf numFmtId="0" fontId="15" fillId="2" borderId="43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 wrapText="1"/>
    </xf>
    <xf numFmtId="0" fontId="15" fillId="4" borderId="53" xfId="0" applyFont="1" applyFill="1" applyBorder="1" applyAlignment="1">
      <alignment horizontal="center" vertical="center" wrapText="1"/>
    </xf>
    <xf numFmtId="0" fontId="15" fillId="11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41" fillId="8" borderId="23" xfId="0" applyFont="1" applyFill="1" applyBorder="1" applyAlignment="1">
      <alignment horizontal="center"/>
    </xf>
    <xf numFmtId="0" fontId="19" fillId="12" borderId="17" xfId="0" applyFont="1" applyFill="1" applyBorder="1" applyAlignment="1">
      <alignment horizontal="center" vertical="center" wrapText="1"/>
    </xf>
    <xf numFmtId="0" fontId="19" fillId="12" borderId="18" xfId="0" applyFont="1" applyFill="1" applyBorder="1" applyAlignment="1">
      <alignment horizontal="center" vertical="center" wrapText="1"/>
    </xf>
    <xf numFmtId="0" fontId="19" fillId="13" borderId="19" xfId="0" applyFont="1" applyFill="1" applyBorder="1" applyAlignment="1">
      <alignment horizontal="center" vertical="center" wrapText="1"/>
    </xf>
    <xf numFmtId="0" fontId="19" fillId="13" borderId="17" xfId="0" applyFont="1" applyFill="1" applyBorder="1" applyAlignment="1">
      <alignment horizontal="center" vertical="center" wrapText="1"/>
    </xf>
    <xf numFmtId="0" fontId="21" fillId="13" borderId="18" xfId="0" applyFont="1" applyFill="1" applyBorder="1" applyAlignment="1">
      <alignment horizontal="center" vertical="center" wrapText="1"/>
    </xf>
    <xf numFmtId="0" fontId="19" fillId="14" borderId="18" xfId="0" applyFont="1" applyFill="1" applyBorder="1" applyAlignment="1">
      <alignment horizontal="center" vertical="center" wrapText="1"/>
    </xf>
    <xf numFmtId="0" fontId="19" fillId="14" borderId="19" xfId="0" applyFont="1" applyFill="1" applyBorder="1" applyAlignment="1">
      <alignment horizontal="center" vertical="center" wrapText="1"/>
    </xf>
    <xf numFmtId="0" fontId="1" fillId="14" borderId="18" xfId="0" applyFont="1" applyFill="1" applyBorder="1" applyAlignment="1">
      <alignment horizontal="center" vertical="center"/>
    </xf>
    <xf numFmtId="0" fontId="42" fillId="15" borderId="21" xfId="0" applyFont="1" applyFill="1" applyBorder="1" applyAlignment="1">
      <alignment horizontal="center" vertical="center" wrapText="1"/>
    </xf>
    <xf numFmtId="0" fontId="42" fillId="15" borderId="18" xfId="0" applyFont="1" applyFill="1" applyBorder="1" applyAlignment="1">
      <alignment horizontal="center" vertical="center" wrapText="1"/>
    </xf>
    <xf numFmtId="0" fontId="43" fillId="15" borderId="19" xfId="0" applyFont="1" applyFill="1" applyBorder="1" applyAlignment="1">
      <alignment horizontal="center" vertical="center" wrapText="1"/>
    </xf>
    <xf numFmtId="0" fontId="42" fillId="16" borderId="18" xfId="0" applyFont="1" applyFill="1" applyBorder="1" applyAlignment="1">
      <alignment horizontal="center" vertical="center" wrapText="1"/>
    </xf>
    <xf numFmtId="0" fontId="42" fillId="16" borderId="18" xfId="0" applyFont="1" applyFill="1" applyBorder="1" applyAlignment="1">
      <alignment horizontal="center" vertical="center"/>
    </xf>
    <xf numFmtId="0" fontId="19" fillId="10" borderId="27" xfId="0" applyFont="1" applyFill="1" applyBorder="1" applyAlignment="1">
      <alignment horizontal="center" vertical="center" wrapText="1"/>
    </xf>
    <xf numFmtId="0" fontId="19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0" fontId="19" fillId="7" borderId="28" xfId="0" applyFont="1" applyFill="1" applyBorder="1" applyAlignment="1">
      <alignment horizontal="center" vertical="center" wrapText="1"/>
    </xf>
    <xf numFmtId="0" fontId="44" fillId="7" borderId="40" xfId="0" applyFont="1" applyFill="1" applyBorder="1" applyAlignment="1">
      <alignment horizontal="center" vertical="center" wrapText="1"/>
    </xf>
    <xf numFmtId="0" fontId="43" fillId="8" borderId="28" xfId="0" applyFont="1" applyFill="1" applyBorder="1" applyAlignment="1">
      <alignment horizontal="center" vertical="center" wrapText="1"/>
    </xf>
    <xf numFmtId="0" fontId="42" fillId="8" borderId="28" xfId="0" applyFont="1" applyFill="1" applyBorder="1" applyAlignment="1">
      <alignment horizontal="center" vertical="center" wrapText="1"/>
    </xf>
    <xf numFmtId="0" fontId="42" fillId="8" borderId="29" xfId="0" applyFont="1" applyFill="1" applyBorder="1" applyAlignment="1">
      <alignment horizontal="center" vertical="center" wrapText="1"/>
    </xf>
    <xf numFmtId="0" fontId="42" fillId="15" borderId="30" xfId="0" applyFont="1" applyFill="1" applyBorder="1" applyAlignment="1">
      <alignment horizontal="center" vertical="center" wrapText="1"/>
    </xf>
    <xf numFmtId="0" fontId="42" fillId="15" borderId="28" xfId="0" applyFont="1" applyFill="1" applyBorder="1" applyAlignment="1">
      <alignment horizontal="center" vertical="center" wrapText="1"/>
    </xf>
    <xf numFmtId="0" fontId="42" fillId="15" borderId="29" xfId="0" applyFont="1" applyFill="1" applyBorder="1" applyAlignment="1">
      <alignment horizontal="center" vertical="center" wrapText="1"/>
    </xf>
    <xf numFmtId="0" fontId="43" fillId="15" borderId="30" xfId="0" applyFont="1" applyFill="1" applyBorder="1" applyAlignment="1">
      <alignment horizontal="center" vertical="center" wrapText="1"/>
    </xf>
    <xf numFmtId="0" fontId="19" fillId="16" borderId="28" xfId="0" applyFont="1" applyFill="1" applyBorder="1" applyAlignment="1">
      <alignment horizontal="center" vertical="center"/>
    </xf>
    <xf numFmtId="0" fontId="19" fillId="16" borderId="28" xfId="0" applyFont="1" applyFill="1" applyBorder="1" applyAlignment="1">
      <alignment horizontal="center" vertical="center" wrapText="1"/>
    </xf>
    <xf numFmtId="0" fontId="19" fillId="6" borderId="33" xfId="0" applyFont="1" applyFill="1" applyBorder="1" applyAlignment="1">
      <alignment horizontal="center" vertical="center" wrapText="1"/>
    </xf>
    <xf numFmtId="0" fontId="19" fillId="6" borderId="23" xfId="0" applyFont="1" applyFill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42" fillId="3" borderId="18" xfId="0" applyFont="1" applyFill="1" applyBorder="1" applyAlignment="1">
      <alignment horizontal="center" vertical="center"/>
    </xf>
    <xf numFmtId="0" fontId="42" fillId="3" borderId="18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5" fillId="3" borderId="18" xfId="0" applyFont="1" applyFill="1" applyBorder="1" applyAlignment="1">
      <alignment horizontal="center" vertical="center" wrapText="1"/>
    </xf>
    <xf numFmtId="0" fontId="42" fillId="2" borderId="18" xfId="0" applyFont="1" applyFill="1" applyBorder="1" applyAlignment="1">
      <alignment horizontal="center" vertical="center" wrapText="1"/>
    </xf>
    <xf numFmtId="0" fontId="42" fillId="2" borderId="19" xfId="0" applyFont="1" applyFill="1" applyBorder="1" applyAlignment="1">
      <alignment horizontal="center" vertical="center" wrapText="1"/>
    </xf>
    <xf numFmtId="0" fontId="43" fillId="2" borderId="17" xfId="0" applyFont="1" applyFill="1" applyBorder="1" applyAlignment="1">
      <alignment horizontal="center" vertical="center" wrapText="1"/>
    </xf>
    <xf numFmtId="0" fontId="42" fillId="16" borderId="35" xfId="0" applyFont="1" applyFill="1" applyBorder="1" applyAlignment="1">
      <alignment horizontal="center" vertical="center" wrapText="1"/>
    </xf>
    <xf numFmtId="0" fontId="19" fillId="9" borderId="27" xfId="0" applyFont="1" applyFill="1" applyBorder="1" applyAlignment="1">
      <alignment horizontal="center" vertical="center" wrapText="1"/>
    </xf>
    <xf numFmtId="0" fontId="19" fillId="9" borderId="28" xfId="0" applyFont="1" applyFill="1" applyBorder="1" applyAlignment="1">
      <alignment horizontal="center" vertical="center" wrapText="1"/>
    </xf>
    <xf numFmtId="0" fontId="1" fillId="9" borderId="29" xfId="0" applyFont="1" applyFill="1" applyBorder="1" applyAlignment="1">
      <alignment horizontal="center" vertical="center" wrapText="1"/>
    </xf>
    <xf numFmtId="0" fontId="22" fillId="7" borderId="36" xfId="0" applyFont="1" applyFill="1" applyBorder="1" applyAlignment="1">
      <alignment horizontal="center" vertical="center" wrapText="1"/>
    </xf>
    <xf numFmtId="0" fontId="42" fillId="7" borderId="28" xfId="0" applyFont="1" applyFill="1" applyBorder="1" applyAlignment="1">
      <alignment horizontal="center" vertical="center" wrapText="1"/>
    </xf>
    <xf numFmtId="0" fontId="42" fillId="9" borderId="37" xfId="0" applyFont="1" applyFill="1" applyBorder="1" applyAlignment="1">
      <alignment horizontal="center" vertical="center" wrapText="1"/>
    </xf>
    <xf numFmtId="0" fontId="43" fillId="7" borderId="40" xfId="0" applyFont="1" applyFill="1" applyBorder="1" applyAlignment="1">
      <alignment horizontal="center" vertical="center" wrapText="1"/>
    </xf>
    <xf numFmtId="0" fontId="19" fillId="2" borderId="37" xfId="0" applyFont="1" applyFill="1" applyBorder="1" applyAlignment="1">
      <alignment horizontal="center" vertical="center" wrapText="1"/>
    </xf>
    <xf numFmtId="0" fontId="19" fillId="2" borderId="39" xfId="0" applyFont="1" applyFill="1" applyBorder="1" applyAlignment="1">
      <alignment horizontal="center" vertical="center" wrapText="1"/>
    </xf>
    <xf numFmtId="0" fontId="19" fillId="15" borderId="40" xfId="0" applyFont="1" applyFill="1" applyBorder="1" applyAlignment="1">
      <alignment horizontal="center" vertical="center" wrapText="1"/>
    </xf>
    <xf numFmtId="0" fontId="19" fillId="15" borderId="37" xfId="0" applyFont="1" applyFill="1" applyBorder="1" applyAlignment="1">
      <alignment horizontal="center" vertical="center" wrapText="1"/>
    </xf>
    <xf numFmtId="0" fontId="19" fillId="15" borderId="41" xfId="0" applyFont="1" applyFill="1" applyBorder="1" applyAlignment="1">
      <alignment horizontal="center" vertical="center" wrapText="1"/>
    </xf>
    <xf numFmtId="0" fontId="19" fillId="2" borderId="36" xfId="0" applyFont="1" applyFill="1" applyBorder="1" applyAlignment="1">
      <alignment horizontal="center" vertical="center" wrapText="1"/>
    </xf>
    <xf numFmtId="0" fontId="19" fillId="16" borderId="37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23" xfId="0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" fillId="14" borderId="43" xfId="0" applyFont="1" applyFill="1" applyBorder="1" applyAlignment="1">
      <alignment horizontal="center" vertical="center" wrapText="1"/>
    </xf>
    <xf numFmtId="49" fontId="19" fillId="14" borderId="18" xfId="0" applyNumberFormat="1" applyFont="1" applyFill="1" applyBorder="1" applyAlignment="1">
      <alignment horizontal="center" vertical="center"/>
    </xf>
    <xf numFmtId="0" fontId="21" fillId="14" borderId="44" xfId="0" applyFont="1" applyFill="1" applyBorder="1" applyAlignment="1">
      <alignment horizontal="center" vertical="center" wrapText="1"/>
    </xf>
    <xf numFmtId="0" fontId="42" fillId="15" borderId="19" xfId="0" applyFont="1" applyFill="1" applyBorder="1" applyAlignment="1">
      <alignment horizontal="center" vertical="center" wrapText="1"/>
    </xf>
    <xf numFmtId="0" fontId="43" fillId="15" borderId="21" xfId="0" applyFont="1" applyFill="1" applyBorder="1" applyAlignment="1">
      <alignment horizontal="center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19" fillId="7" borderId="37" xfId="0" applyFont="1" applyFill="1" applyBorder="1" applyAlignment="1">
      <alignment horizontal="center" vertical="center" wrapText="1"/>
    </xf>
    <xf numFmtId="0" fontId="20" fillId="12" borderId="24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 wrapText="1"/>
    </xf>
    <xf numFmtId="0" fontId="42" fillId="8" borderId="37" xfId="0" applyFont="1" applyFill="1" applyBorder="1" applyAlignment="1">
      <alignment horizontal="center" vertical="center" wrapText="1"/>
    </xf>
    <xf numFmtId="49" fontId="42" fillId="8" borderId="37" xfId="0" applyNumberFormat="1" applyFont="1" applyFill="1" applyBorder="1" applyAlignment="1">
      <alignment horizontal="center" vertical="center"/>
    </xf>
    <xf numFmtId="0" fontId="42" fillId="8" borderId="39" xfId="0" applyFont="1" applyFill="1" applyBorder="1" applyAlignment="1">
      <alignment horizontal="center" vertical="center" wrapText="1"/>
    </xf>
    <xf numFmtId="0" fontId="42" fillId="15" borderId="40" xfId="0" applyFont="1" applyFill="1" applyBorder="1" applyAlignment="1">
      <alignment horizontal="center" vertical="center" wrapText="1"/>
    </xf>
    <xf numFmtId="0" fontId="42" fillId="15" borderId="37" xfId="0" applyFont="1" applyFill="1" applyBorder="1" applyAlignment="1">
      <alignment horizontal="center" vertical="center" wrapText="1"/>
    </xf>
    <xf numFmtId="0" fontId="42" fillId="15" borderId="41" xfId="0" applyFont="1" applyFill="1" applyBorder="1" applyAlignment="1">
      <alignment horizontal="center" vertical="center" wrapText="1"/>
    </xf>
    <xf numFmtId="0" fontId="43" fillId="15" borderId="40" xfId="0" applyFont="1" applyFill="1" applyBorder="1" applyAlignment="1">
      <alignment horizontal="center" vertical="center" wrapText="1"/>
    </xf>
    <xf numFmtId="0" fontId="19" fillId="16" borderId="37" xfId="0" applyFont="1" applyFill="1" applyBorder="1" applyAlignment="1">
      <alignment horizontal="center" vertical="center"/>
    </xf>
    <xf numFmtId="0" fontId="21" fillId="6" borderId="33" xfId="0" applyFont="1" applyFill="1" applyBorder="1" applyAlignment="1">
      <alignment horizontal="center" vertical="center" wrapText="1"/>
    </xf>
    <xf numFmtId="0" fontId="21" fillId="11" borderId="43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13" fillId="11" borderId="35" xfId="0" applyFont="1" applyFill="1" applyBorder="1" applyAlignment="1">
      <alignment horizontal="center" vertical="center"/>
    </xf>
    <xf numFmtId="0" fontId="42" fillId="3" borderId="35" xfId="0" applyFont="1" applyFill="1" applyBorder="1" applyAlignment="1">
      <alignment horizontal="center" vertical="center" wrapText="1"/>
    </xf>
    <xf numFmtId="0" fontId="42" fillId="3" borderId="44" xfId="0" applyFont="1" applyFill="1" applyBorder="1" applyAlignment="1">
      <alignment horizontal="center" vertical="center" wrapText="1"/>
    </xf>
    <xf numFmtId="0" fontId="20" fillId="3" borderId="47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42" fillId="16" borderId="35" xfId="0" applyFont="1" applyFill="1" applyBorder="1" applyAlignment="1">
      <alignment horizontal="center" vertical="center"/>
    </xf>
    <xf numFmtId="0" fontId="19" fillId="16" borderId="35" xfId="0" applyFont="1" applyFill="1" applyBorder="1" applyAlignment="1">
      <alignment horizontal="center" vertical="center"/>
    </xf>
    <xf numFmtId="0" fontId="21" fillId="9" borderId="30" xfId="0" applyFont="1" applyFill="1" applyBorder="1" applyAlignment="1">
      <alignment horizontal="center" vertical="center" wrapText="1"/>
    </xf>
    <xf numFmtId="0" fontId="22" fillId="9" borderId="28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42" fillId="11" borderId="28" xfId="0" applyFont="1" applyFill="1" applyBorder="1" applyAlignment="1">
      <alignment horizontal="center" vertical="center" wrapText="1"/>
    </xf>
    <xf numFmtId="0" fontId="19" fillId="11" borderId="28" xfId="0" applyFont="1" applyFill="1" applyBorder="1" applyAlignment="1">
      <alignment horizontal="center" vertical="center" wrapText="1"/>
    </xf>
    <xf numFmtId="0" fontId="19" fillId="11" borderId="49" xfId="0" applyFont="1" applyFill="1" applyBorder="1" applyAlignment="1">
      <alignment horizontal="center" vertical="center" wrapText="1"/>
    </xf>
    <xf numFmtId="0" fontId="19" fillId="11" borderId="41" xfId="0" applyFont="1" applyFill="1" applyBorder="1" applyAlignment="1">
      <alignment horizontal="center" vertical="center" wrapText="1"/>
    </xf>
    <xf numFmtId="0" fontId="19" fillId="11" borderId="30" xfId="0" applyFont="1" applyFill="1" applyBorder="1" applyAlignment="1">
      <alignment horizontal="center" vertical="center" wrapText="1"/>
    </xf>
    <xf numFmtId="0" fontId="21" fillId="11" borderId="29" xfId="0" applyFont="1" applyFill="1" applyBorder="1" applyAlignment="1">
      <alignment horizontal="center" vertical="center" wrapText="1"/>
    </xf>
    <xf numFmtId="0" fontId="22" fillId="16" borderId="28" xfId="0" applyFont="1" applyFill="1" applyBorder="1" applyAlignment="1">
      <alignment horizontal="center" vertical="center" wrapText="1"/>
    </xf>
    <xf numFmtId="0" fontId="21" fillId="16" borderId="28" xfId="0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43" fillId="12" borderId="24" xfId="0" applyFont="1" applyFill="1" applyBorder="1" applyAlignment="1">
      <alignment horizontal="center" vertical="center" wrapText="1"/>
    </xf>
    <xf numFmtId="0" fontId="19" fillId="7" borderId="43" xfId="0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16" fillId="7" borderId="35" xfId="0" applyFont="1" applyFill="1" applyBorder="1" applyAlignment="1">
      <alignment horizontal="center" vertical="center" wrapText="1"/>
    </xf>
    <xf numFmtId="0" fontId="22" fillId="7" borderId="44" xfId="0" applyFont="1" applyFill="1" applyBorder="1" applyAlignment="1">
      <alignment horizontal="center" vertical="center" wrapText="1"/>
    </xf>
    <xf numFmtId="0" fontId="19" fillId="14" borderId="35" xfId="0" applyFont="1" applyFill="1" applyBorder="1" applyAlignment="1">
      <alignment horizontal="center" vertical="center" wrapText="1"/>
    </xf>
    <xf numFmtId="0" fontId="19" fillId="14" borderId="50" xfId="0" applyFont="1" applyFill="1" applyBorder="1" applyAlignment="1">
      <alignment horizontal="center" vertical="center" wrapText="1"/>
    </xf>
    <xf numFmtId="0" fontId="42" fillId="15" borderId="44" xfId="0" applyFont="1" applyFill="1" applyBorder="1" applyAlignment="1">
      <alignment horizontal="center" vertical="center" wrapText="1"/>
    </xf>
    <xf numFmtId="0" fontId="42" fillId="15" borderId="43" xfId="0" applyFont="1" applyFill="1" applyBorder="1" applyAlignment="1">
      <alignment horizontal="center" vertical="center" wrapText="1"/>
    </xf>
    <xf numFmtId="0" fontId="42" fillId="15" borderId="35" xfId="0" applyFont="1" applyFill="1" applyBorder="1" applyAlignment="1">
      <alignment horizontal="center" vertical="center" wrapText="1"/>
    </xf>
    <xf numFmtId="0" fontId="15" fillId="15" borderId="19" xfId="0" applyFont="1" applyFill="1" applyBorder="1" applyAlignment="1">
      <alignment horizontal="center" vertical="center" wrapText="1"/>
    </xf>
    <xf numFmtId="0" fontId="42" fillId="16" borderId="47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1" fillId="10" borderId="38" xfId="0" applyFont="1" applyFill="1" applyBorder="1" applyAlignment="1">
      <alignment horizontal="center" vertical="center" wrapText="1"/>
    </xf>
    <xf numFmtId="0" fontId="19" fillId="10" borderId="14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46" fillId="10" borderId="13" xfId="0" applyFont="1" applyFill="1" applyBorder="1" applyAlignment="1">
      <alignment horizontal="center" vertical="center" wrapText="1"/>
    </xf>
    <xf numFmtId="0" fontId="42" fillId="8" borderId="13" xfId="0" applyFont="1" applyFill="1" applyBorder="1" applyAlignment="1">
      <alignment horizontal="center" vertical="center" wrapText="1"/>
    </xf>
    <xf numFmtId="0" fontId="42" fillId="8" borderId="14" xfId="0" applyFont="1" applyFill="1" applyBorder="1" applyAlignment="1">
      <alignment horizontal="center" vertical="center"/>
    </xf>
    <xf numFmtId="0" fontId="42" fillId="8" borderId="14" xfId="0" applyFont="1" applyFill="1" applyBorder="1" applyAlignment="1">
      <alignment horizontal="center" vertical="center" wrapText="1"/>
    </xf>
    <xf numFmtId="0" fontId="47" fillId="8" borderId="14" xfId="0" applyFont="1" applyFill="1" applyBorder="1" applyAlignment="1">
      <alignment horizontal="center" vertical="center" wrapText="1"/>
    </xf>
    <xf numFmtId="0" fontId="42" fillId="15" borderId="13" xfId="0" applyFont="1" applyFill="1" applyBorder="1" applyAlignment="1">
      <alignment horizontal="center" vertical="center" wrapText="1"/>
    </xf>
    <xf numFmtId="0" fontId="43" fillId="15" borderId="14" xfId="0" applyFont="1" applyFill="1" applyBorder="1" applyAlignment="1">
      <alignment horizontal="center" vertical="center" wrapText="1"/>
    </xf>
    <xf numFmtId="0" fontId="43" fillId="16" borderId="12" xfId="0" applyFont="1" applyFill="1" applyBorder="1" applyAlignment="1">
      <alignment horizontal="center" vertical="center" wrapText="1"/>
    </xf>
    <xf numFmtId="0" fontId="43" fillId="15" borderId="15" xfId="0" applyFont="1" applyFill="1" applyBorder="1" applyAlignment="1">
      <alignment horizontal="center" vertical="center" wrapText="1"/>
    </xf>
    <xf numFmtId="0" fontId="43" fillId="16" borderId="13" xfId="0" applyFont="1" applyFill="1" applyBorder="1" applyAlignment="1">
      <alignment horizontal="center" vertical="center" wrapText="1"/>
    </xf>
    <xf numFmtId="0" fontId="10" fillId="12" borderId="73" xfId="0" applyFont="1" applyFill="1" applyBorder="1" applyAlignment="1">
      <alignment horizontal="center" vertical="center"/>
    </xf>
    <xf numFmtId="0" fontId="10" fillId="12" borderId="74" xfId="0" applyFont="1" applyFill="1" applyBorder="1" applyAlignment="1">
      <alignment horizontal="left"/>
    </xf>
    <xf numFmtId="0" fontId="10" fillId="12" borderId="75" xfId="0" applyFont="1" applyFill="1" applyBorder="1" applyAlignment="1">
      <alignment horizontal="left"/>
    </xf>
    <xf numFmtId="0" fontId="10" fillId="12" borderId="76" xfId="0" applyFont="1" applyFill="1" applyBorder="1" applyAlignment="1">
      <alignment horizontal="left"/>
    </xf>
    <xf numFmtId="0" fontId="10" fillId="12" borderId="23" xfId="0" applyFont="1" applyFill="1" applyBorder="1" applyAlignment="1">
      <alignment horizontal="center" vertical="center"/>
    </xf>
    <xf numFmtId="0" fontId="9" fillId="12" borderId="23" xfId="0" applyFont="1" applyFill="1" applyBorder="1" applyAlignment="1">
      <alignment horizontal="center"/>
    </xf>
    <xf numFmtId="0" fontId="0" fillId="12" borderId="23" xfId="0" applyFill="1" applyBorder="1" applyAlignment="1">
      <alignment horizontal="left"/>
    </xf>
    <xf numFmtId="0" fontId="10" fillId="13" borderId="73" xfId="0" applyFont="1" applyFill="1" applyBorder="1" applyAlignment="1">
      <alignment horizontal="center" vertical="center"/>
    </xf>
    <xf numFmtId="0" fontId="10" fillId="13" borderId="74" xfId="0" applyFont="1" applyFill="1" applyBorder="1" applyAlignment="1">
      <alignment horizontal="left"/>
    </xf>
    <xf numFmtId="0" fontId="10" fillId="13" borderId="75" xfId="0" applyFont="1" applyFill="1" applyBorder="1" applyAlignment="1">
      <alignment horizontal="left"/>
    </xf>
    <xf numFmtId="0" fontId="10" fillId="13" borderId="76" xfId="0" applyFont="1" applyFill="1" applyBorder="1" applyAlignment="1">
      <alignment horizontal="left"/>
    </xf>
    <xf numFmtId="0" fontId="10" fillId="13" borderId="23" xfId="0" applyFont="1" applyFill="1" applyBorder="1" applyAlignment="1">
      <alignment horizontal="center" vertical="center"/>
    </xf>
    <xf numFmtId="0" fontId="9" fillId="13" borderId="23" xfId="0" applyFont="1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10" fillId="14" borderId="73" xfId="0" applyFont="1" applyFill="1" applyBorder="1" applyAlignment="1">
      <alignment horizontal="center" vertical="center"/>
    </xf>
    <xf numFmtId="0" fontId="10" fillId="14" borderId="74" xfId="0" applyFont="1" applyFill="1" applyBorder="1" applyAlignment="1">
      <alignment horizontal="left"/>
    </xf>
    <xf numFmtId="0" fontId="10" fillId="14" borderId="75" xfId="0" applyFont="1" applyFill="1" applyBorder="1" applyAlignment="1">
      <alignment horizontal="left"/>
    </xf>
    <xf numFmtId="0" fontId="10" fillId="14" borderId="76" xfId="0" applyFont="1" applyFill="1" applyBorder="1" applyAlignment="1">
      <alignment horizontal="left"/>
    </xf>
    <xf numFmtId="0" fontId="10" fillId="14" borderId="23" xfId="0" applyFont="1" applyFill="1" applyBorder="1" applyAlignment="1">
      <alignment horizontal="center" vertical="center"/>
    </xf>
    <xf numFmtId="0" fontId="10" fillId="14" borderId="23" xfId="0" applyNumberFormat="1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0" fillId="14" borderId="23" xfId="0" applyFill="1" applyBorder="1" applyAlignment="1">
      <alignment horizontal="left"/>
    </xf>
    <xf numFmtId="0" fontId="10" fillId="16" borderId="73" xfId="0" applyFont="1" applyFill="1" applyBorder="1" applyAlignment="1">
      <alignment horizontal="center" vertical="center"/>
    </xf>
    <xf numFmtId="0" fontId="10" fillId="16" borderId="74" xfId="0" applyFont="1" applyFill="1" applyBorder="1" applyAlignment="1">
      <alignment horizontal="left"/>
    </xf>
    <xf numFmtId="0" fontId="10" fillId="16" borderId="75" xfId="0" applyFont="1" applyFill="1" applyBorder="1" applyAlignment="1">
      <alignment horizontal="left"/>
    </xf>
    <xf numFmtId="0" fontId="10" fillId="16" borderId="76" xfId="0" applyFont="1" applyFill="1" applyBorder="1" applyAlignment="1">
      <alignment horizontal="left"/>
    </xf>
    <xf numFmtId="0" fontId="10" fillId="16" borderId="23" xfId="0" applyFont="1" applyFill="1" applyBorder="1" applyAlignment="1">
      <alignment horizontal="center" vertical="center"/>
    </xf>
    <xf numFmtId="0" fontId="9" fillId="16" borderId="23" xfId="0" applyFont="1" applyFill="1" applyBorder="1" applyAlignment="1">
      <alignment horizontal="center"/>
    </xf>
    <xf numFmtId="0" fontId="0" fillId="16" borderId="23" xfId="0" applyFill="1" applyBorder="1" applyAlignment="1">
      <alignment horizontal="center"/>
    </xf>
    <xf numFmtId="0" fontId="35" fillId="3" borderId="23" xfId="0" applyFont="1" applyFill="1" applyBorder="1" applyAlignment="1">
      <alignment horizontal="center"/>
    </xf>
    <xf numFmtId="0" fontId="10" fillId="15" borderId="73" xfId="0" applyFont="1" applyFill="1" applyBorder="1" applyAlignment="1">
      <alignment horizontal="center" vertical="center"/>
    </xf>
    <xf numFmtId="0" fontId="10" fillId="15" borderId="23" xfId="0" applyFont="1" applyFill="1" applyBorder="1" applyAlignment="1">
      <alignment horizontal="left"/>
    </xf>
    <xf numFmtId="0" fontId="10" fillId="15" borderId="23" xfId="0" applyFont="1" applyFill="1" applyBorder="1" applyAlignment="1">
      <alignment horizontal="center"/>
    </xf>
    <xf numFmtId="0" fontId="10" fillId="15" borderId="23" xfId="0" applyFont="1" applyFill="1" applyBorder="1" applyAlignment="1">
      <alignment horizontal="center" vertical="center"/>
    </xf>
    <xf numFmtId="0" fontId="9" fillId="15" borderId="23" xfId="0" applyFont="1" applyFill="1" applyBorder="1" applyAlignment="1">
      <alignment horizontal="center"/>
    </xf>
    <xf numFmtId="0" fontId="38" fillId="15" borderId="23" xfId="0" applyFont="1" applyFill="1" applyBorder="1" applyAlignment="1">
      <alignment horizontal="left"/>
    </xf>
    <xf numFmtId="0" fontId="10" fillId="9" borderId="23" xfId="0" applyFont="1" applyFill="1" applyBorder="1" applyAlignment="1">
      <alignment horizontal="left"/>
    </xf>
    <xf numFmtId="0" fontId="9" fillId="9" borderId="23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1" fillId="0" borderId="68" xfId="0" applyFont="1" applyBorder="1" applyAlignment="1">
      <alignment wrapText="1"/>
    </xf>
    <xf numFmtId="0" fontId="11" fillId="0" borderId="80" xfId="0" applyFont="1" applyBorder="1" applyAlignment="1">
      <alignment wrapText="1"/>
    </xf>
    <xf numFmtId="0" fontId="11" fillId="0" borderId="64" xfId="0" applyFont="1" applyBorder="1" applyAlignment="1">
      <alignment wrapText="1"/>
    </xf>
    <xf numFmtId="0" fontId="11" fillId="0" borderId="69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48" fillId="11" borderId="18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0" fontId="19" fillId="6" borderId="19" xfId="0" applyFont="1" applyFill="1" applyBorder="1" applyAlignment="1">
      <alignment horizontal="center" vertical="center" wrapText="1"/>
    </xf>
    <xf numFmtId="0" fontId="42" fillId="7" borderId="21" xfId="0" applyFont="1" applyFill="1" applyBorder="1" applyAlignment="1">
      <alignment horizontal="center" vertical="center" wrapText="1"/>
    </xf>
    <xf numFmtId="0" fontId="42" fillId="7" borderId="18" xfId="0" applyFont="1" applyFill="1" applyBorder="1" applyAlignment="1">
      <alignment horizontal="center" vertical="center" wrapText="1"/>
    </xf>
    <xf numFmtId="0" fontId="43" fillId="7" borderId="19" xfId="0" applyFont="1" applyFill="1" applyBorder="1" applyAlignment="1">
      <alignment horizontal="center" vertical="center" wrapText="1"/>
    </xf>
    <xf numFmtId="0" fontId="42" fillId="2" borderId="21" xfId="0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13" borderId="28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0" fontId="19" fillId="6" borderId="28" xfId="0" applyFont="1" applyFill="1" applyBorder="1" applyAlignment="1">
      <alignment horizontal="center" vertical="center" wrapText="1"/>
    </xf>
    <xf numFmtId="0" fontId="19" fillId="17" borderId="28" xfId="0" applyFont="1" applyFill="1" applyBorder="1" applyAlignment="1">
      <alignment horizontal="center" vertical="center" wrapText="1"/>
    </xf>
    <xf numFmtId="0" fontId="1" fillId="17" borderId="29" xfId="0" applyFont="1" applyFill="1" applyBorder="1" applyAlignment="1">
      <alignment horizontal="center" vertical="center" wrapText="1"/>
    </xf>
    <xf numFmtId="0" fontId="43" fillId="17" borderId="28" xfId="0" applyFont="1" applyFill="1" applyBorder="1" applyAlignment="1">
      <alignment horizontal="center" vertical="center" wrapText="1"/>
    </xf>
    <xf numFmtId="0" fontId="42" fillId="3" borderId="28" xfId="0" applyFont="1" applyFill="1" applyBorder="1" applyAlignment="1">
      <alignment horizontal="center" vertical="center" wrapText="1"/>
    </xf>
    <xf numFmtId="0" fontId="42" fillId="3" borderId="29" xfId="0" applyFont="1" applyFill="1" applyBorder="1" applyAlignment="1">
      <alignment horizontal="center" vertical="center" wrapText="1"/>
    </xf>
    <xf numFmtId="0" fontId="42" fillId="3" borderId="30" xfId="0" applyFont="1" applyFill="1" applyBorder="1" applyAlignment="1">
      <alignment horizontal="center" vertical="center" wrapText="1"/>
    </xf>
    <xf numFmtId="0" fontId="43" fillId="3" borderId="30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12" borderId="24" xfId="0" applyFont="1" applyFill="1" applyBorder="1" applyAlignment="1">
      <alignment horizontal="center" vertical="center" wrapText="1"/>
    </xf>
    <xf numFmtId="0" fontId="19" fillId="12" borderId="19" xfId="0" applyFont="1" applyFill="1" applyBorder="1" applyAlignment="1">
      <alignment horizontal="center" vertical="center" wrapText="1"/>
    </xf>
    <xf numFmtId="0" fontId="42" fillId="8" borderId="17" xfId="0" applyFont="1" applyFill="1" applyBorder="1" applyAlignment="1">
      <alignment horizontal="center" vertical="center" wrapText="1"/>
    </xf>
    <xf numFmtId="0" fontId="42" fillId="8" borderId="18" xfId="0" applyFont="1" applyFill="1" applyBorder="1" applyAlignment="1">
      <alignment horizontal="center" vertical="center"/>
    </xf>
    <xf numFmtId="0" fontId="42" fillId="8" borderId="18" xfId="0" applyFont="1" applyFill="1" applyBorder="1" applyAlignment="1">
      <alignment horizontal="center" vertical="center" wrapText="1"/>
    </xf>
    <xf numFmtId="0" fontId="42" fillId="8" borderId="19" xfId="0" applyFont="1" applyFill="1" applyBorder="1" applyAlignment="1">
      <alignment horizontal="center" vertical="center" wrapText="1"/>
    </xf>
    <xf numFmtId="0" fontId="42" fillId="8" borderId="21" xfId="0" applyFont="1" applyFill="1" applyBorder="1" applyAlignment="1">
      <alignment horizontal="center" vertical="center" wrapText="1"/>
    </xf>
    <xf numFmtId="0" fontId="45" fillId="8" borderId="18" xfId="0" applyFont="1" applyFill="1" applyBorder="1" applyAlignment="1">
      <alignment horizontal="center" vertical="center" wrapText="1"/>
    </xf>
    <xf numFmtId="0" fontId="22" fillId="13" borderId="36" xfId="0" applyFont="1" applyFill="1" applyBorder="1" applyAlignment="1">
      <alignment horizontal="center" vertical="center" wrapText="1"/>
    </xf>
    <xf numFmtId="0" fontId="19" fillId="18" borderId="40" xfId="0" applyFont="1" applyFill="1" applyBorder="1" applyAlignment="1">
      <alignment horizontal="center" vertical="center" wrapText="1"/>
    </xf>
    <xf numFmtId="0" fontId="19" fillId="18" borderId="37" xfId="0" applyFont="1" applyFill="1" applyBorder="1" applyAlignment="1">
      <alignment horizontal="center" vertical="center" wrapText="1"/>
    </xf>
    <xf numFmtId="0" fontId="19" fillId="18" borderId="39" xfId="0" applyFont="1" applyFill="1" applyBorder="1" applyAlignment="1">
      <alignment horizontal="center" vertical="center" wrapText="1"/>
    </xf>
    <xf numFmtId="0" fontId="19" fillId="2" borderId="41" xfId="0" applyFont="1" applyFill="1" applyBorder="1" applyAlignment="1">
      <alignment horizontal="center" vertical="center" wrapText="1"/>
    </xf>
    <xf numFmtId="0" fontId="43" fillId="8" borderId="21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 wrapText="1"/>
    </xf>
    <xf numFmtId="0" fontId="19" fillId="6" borderId="37" xfId="0" applyFont="1" applyFill="1" applyBorder="1" applyAlignment="1">
      <alignment horizontal="center" vertical="center" wrapText="1"/>
    </xf>
    <xf numFmtId="0" fontId="19" fillId="17" borderId="41" xfId="0" applyFont="1" applyFill="1" applyBorder="1" applyAlignment="1">
      <alignment horizontal="center" vertical="center" wrapText="1"/>
    </xf>
    <xf numFmtId="0" fontId="12" fillId="12" borderId="43" xfId="0" applyFont="1" applyFill="1" applyBorder="1" applyAlignment="1">
      <alignment horizontal="center" vertical="center" wrapText="1"/>
    </xf>
    <xf numFmtId="0" fontId="19" fillId="17" borderId="37" xfId="0" applyFont="1" applyFill="1" applyBorder="1" applyAlignment="1">
      <alignment horizontal="center" vertical="center" wrapText="1"/>
    </xf>
    <xf numFmtId="0" fontId="42" fillId="3" borderId="37" xfId="0" applyFont="1" applyFill="1" applyBorder="1" applyAlignment="1">
      <alignment horizontal="center" vertical="center" wrapText="1"/>
    </xf>
    <xf numFmtId="49" fontId="42" fillId="3" borderId="37" xfId="0" applyNumberFormat="1" applyFont="1" applyFill="1" applyBorder="1" applyAlignment="1">
      <alignment horizontal="center" vertical="center"/>
    </xf>
    <xf numFmtId="0" fontId="42" fillId="3" borderId="39" xfId="0" applyFont="1" applyFill="1" applyBorder="1" applyAlignment="1">
      <alignment horizontal="center" vertical="center" wrapText="1"/>
    </xf>
    <xf numFmtId="0" fontId="42" fillId="3" borderId="40" xfId="0" applyFont="1" applyFill="1" applyBorder="1" applyAlignment="1">
      <alignment horizontal="center" vertical="center" wrapText="1"/>
    </xf>
    <xf numFmtId="0" fontId="42" fillId="3" borderId="41" xfId="0" applyFont="1" applyFill="1" applyBorder="1" applyAlignment="1">
      <alignment horizontal="center" vertical="center" wrapText="1"/>
    </xf>
    <xf numFmtId="0" fontId="43" fillId="2" borderId="40" xfId="0" applyFont="1" applyFill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2" borderId="43" xfId="0" applyFont="1" applyFill="1" applyBorder="1" applyAlignment="1">
      <alignment horizontal="center" vertical="center" wrapText="1"/>
    </xf>
    <xf numFmtId="0" fontId="19" fillId="12" borderId="35" xfId="0" applyFont="1" applyFill="1" applyBorder="1" applyAlignment="1">
      <alignment horizontal="center" vertical="center" wrapText="1"/>
    </xf>
    <xf numFmtId="0" fontId="19" fillId="12" borderId="4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/>
    </xf>
    <xf numFmtId="0" fontId="42" fillId="8" borderId="35" xfId="0" applyFont="1" applyFill="1" applyBorder="1" applyAlignment="1">
      <alignment horizontal="center" vertical="center" wrapText="1"/>
    </xf>
    <xf numFmtId="0" fontId="42" fillId="8" borderId="44" xfId="0" applyFont="1" applyFill="1" applyBorder="1" applyAlignment="1">
      <alignment horizontal="center" vertical="center" wrapText="1"/>
    </xf>
    <xf numFmtId="0" fontId="42" fillId="8" borderId="47" xfId="0" applyFont="1" applyFill="1" applyBorder="1" applyAlignment="1">
      <alignment horizontal="center" vertical="center" wrapText="1"/>
    </xf>
    <xf numFmtId="0" fontId="42" fillId="2" borderId="44" xfId="0" applyFont="1" applyFill="1" applyBorder="1" applyAlignment="1">
      <alignment horizontal="center" vertical="center" wrapText="1"/>
    </xf>
    <xf numFmtId="0" fontId="21" fillId="10" borderId="30" xfId="0" applyFont="1" applyFill="1" applyBorder="1" applyAlignment="1">
      <alignment horizontal="center" vertical="center" wrapText="1"/>
    </xf>
    <xf numFmtId="0" fontId="22" fillId="11" borderId="28" xfId="0" applyFont="1" applyFill="1" applyBorder="1" applyAlignment="1">
      <alignment horizontal="center" vertical="center" wrapText="1"/>
    </xf>
    <xf numFmtId="0" fontId="42" fillId="8" borderId="49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textRotation="90" wrapText="1"/>
    </xf>
    <xf numFmtId="0" fontId="19" fillId="18" borderId="28" xfId="0" applyFont="1" applyFill="1" applyBorder="1" applyAlignment="1">
      <alignment horizontal="center" vertical="center" wrapText="1"/>
    </xf>
    <xf numFmtId="0" fontId="19" fillId="18" borderId="49" xfId="0" applyFont="1" applyFill="1" applyBorder="1" applyAlignment="1">
      <alignment horizontal="center" vertical="center" wrapText="1"/>
    </xf>
    <xf numFmtId="0" fontId="19" fillId="18" borderId="41" xfId="0" applyFont="1" applyFill="1" applyBorder="1" applyAlignment="1">
      <alignment horizontal="center" vertical="center" wrapText="1"/>
    </xf>
    <xf numFmtId="0" fontId="19" fillId="18" borderId="30" xfId="0" applyFont="1" applyFill="1" applyBorder="1" applyAlignment="1">
      <alignment horizontal="center" vertical="center" wrapText="1"/>
    </xf>
    <xf numFmtId="0" fontId="21" fillId="18" borderId="29" xfId="0" applyFont="1" applyFill="1" applyBorder="1" applyAlignment="1">
      <alignment horizontal="center" vertical="center" wrapText="1"/>
    </xf>
    <xf numFmtId="0" fontId="19" fillId="6" borderId="43" xfId="0" applyFont="1" applyFill="1" applyBorder="1" applyAlignment="1">
      <alignment horizontal="center" vertical="center" wrapText="1"/>
    </xf>
    <xf numFmtId="0" fontId="19" fillId="6" borderId="47" xfId="0" applyFont="1" applyFill="1" applyBorder="1" applyAlignment="1">
      <alignment horizontal="center" vertical="center" wrapText="1"/>
    </xf>
    <xf numFmtId="0" fontId="22" fillId="6" borderId="44" xfId="0" applyFont="1" applyFill="1" applyBorder="1" applyAlignment="1">
      <alignment horizontal="center" vertical="center" wrapText="1"/>
    </xf>
    <xf numFmtId="0" fontId="42" fillId="7" borderId="44" xfId="0" applyFont="1" applyFill="1" applyBorder="1" applyAlignment="1">
      <alignment horizontal="center" vertical="center" wrapText="1"/>
    </xf>
    <xf numFmtId="0" fontId="42" fillId="7" borderId="43" xfId="0" applyFont="1" applyFill="1" applyBorder="1" applyAlignment="1">
      <alignment horizontal="center" vertical="center" wrapText="1"/>
    </xf>
    <xf numFmtId="0" fontId="42" fillId="7" borderId="35" xfId="0" applyFont="1" applyFill="1" applyBorder="1" applyAlignment="1">
      <alignment horizontal="center" vertical="center" wrapText="1"/>
    </xf>
    <xf numFmtId="0" fontId="42" fillId="2" borderId="35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21" fillId="2" borderId="46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13" borderId="13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" fillId="17" borderId="38" xfId="0" applyFont="1" applyFill="1" applyBorder="1" applyAlignment="1">
      <alignment horizontal="center" vertical="center" wrapText="1"/>
    </xf>
    <xf numFmtId="0" fontId="19" fillId="17" borderId="14" xfId="0" applyFont="1" applyFill="1" applyBorder="1" applyAlignment="1">
      <alignment horizontal="center" vertical="center"/>
    </xf>
    <xf numFmtId="0" fontId="19" fillId="17" borderId="13" xfId="0" applyFont="1" applyFill="1" applyBorder="1" applyAlignment="1">
      <alignment horizontal="center" vertical="center" wrapText="1"/>
    </xf>
    <xf numFmtId="0" fontId="20" fillId="17" borderId="13" xfId="0" applyFont="1" applyFill="1" applyBorder="1" applyAlignment="1">
      <alignment horizontal="center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/>
    </xf>
    <xf numFmtId="0" fontId="42" fillId="3" borderId="12" xfId="0" applyFont="1" applyFill="1" applyBorder="1" applyAlignment="1">
      <alignment horizontal="center" vertical="center" wrapText="1"/>
    </xf>
    <xf numFmtId="0" fontId="42" fillId="3" borderId="53" xfId="0" applyFont="1" applyFill="1" applyBorder="1" applyAlignment="1">
      <alignment horizontal="center" vertical="center" wrapText="1"/>
    </xf>
    <xf numFmtId="0" fontId="43" fillId="2" borderId="14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0" fontId="19" fillId="16" borderId="13" xfId="0" applyFont="1" applyFill="1" applyBorder="1" applyAlignment="1">
      <alignment horizontal="center" vertical="center" wrapText="1"/>
    </xf>
    <xf numFmtId="0" fontId="21" fillId="16" borderId="13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28" fillId="2" borderId="17" xfId="0" applyFont="1" applyFill="1" applyBorder="1" applyAlignment="1">
      <alignment horizontal="center" vertical="center"/>
    </xf>
    <xf numFmtId="16" fontId="29" fillId="2" borderId="34" xfId="0" applyNumberFormat="1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81" xfId="0" applyFont="1" applyFill="1" applyBorder="1" applyAlignment="1">
      <alignment horizontal="center" vertical="center" textRotation="90" wrapText="1"/>
    </xf>
    <xf numFmtId="0" fontId="10" fillId="18" borderId="64" xfId="0" applyFont="1" applyFill="1" applyBorder="1" applyAlignment="1">
      <alignment horizontal="center" vertical="center"/>
    </xf>
    <xf numFmtId="0" fontId="10" fillId="18" borderId="75" xfId="0" applyFont="1" applyFill="1" applyBorder="1" applyAlignment="1">
      <alignment horizontal="left"/>
    </xf>
    <xf numFmtId="0" fontId="10" fillId="18" borderId="68" xfId="0" applyFont="1" applyFill="1" applyBorder="1" applyAlignment="1">
      <alignment horizontal="center"/>
    </xf>
    <xf numFmtId="0" fontId="10" fillId="18" borderId="68" xfId="0" applyFont="1" applyFill="1" applyBorder="1" applyAlignment="1">
      <alignment horizontal="center" vertical="center"/>
    </xf>
    <xf numFmtId="0" fontId="32" fillId="18" borderId="68" xfId="0" applyFont="1" applyFill="1" applyBorder="1" applyAlignment="1">
      <alignment horizontal="center"/>
    </xf>
    <xf numFmtId="0" fontId="9" fillId="18" borderId="68" xfId="0" applyFont="1" applyFill="1" applyBorder="1" applyAlignment="1">
      <alignment horizontal="center"/>
    </xf>
    <xf numFmtId="0" fontId="38" fillId="18" borderId="68" xfId="0" applyFont="1" applyFill="1" applyBorder="1" applyAlignment="1">
      <alignment horizontal="left"/>
    </xf>
    <xf numFmtId="0" fontId="10" fillId="17" borderId="73" xfId="0" applyFont="1" applyFill="1" applyBorder="1" applyAlignment="1">
      <alignment horizontal="center" vertical="center"/>
    </xf>
    <xf numFmtId="0" fontId="10" fillId="17" borderId="75" xfId="0" applyFont="1" applyFill="1" applyBorder="1" applyAlignment="1">
      <alignment horizontal="left"/>
    </xf>
    <xf numFmtId="0" fontId="10" fillId="17" borderId="23" xfId="0" applyFont="1" applyFill="1" applyBorder="1" applyAlignment="1">
      <alignment horizontal="center"/>
    </xf>
    <xf numFmtId="0" fontId="10" fillId="17" borderId="68" xfId="0" applyFont="1" applyFill="1" applyBorder="1" applyAlignment="1">
      <alignment horizontal="center" vertical="center"/>
    </xf>
    <xf numFmtId="0" fontId="32" fillId="17" borderId="68" xfId="0" applyFont="1" applyFill="1" applyBorder="1" applyAlignment="1">
      <alignment horizontal="center"/>
    </xf>
    <xf numFmtId="0" fontId="9" fillId="17" borderId="68" xfId="0" applyFont="1" applyFill="1" applyBorder="1" applyAlignment="1">
      <alignment horizontal="center"/>
    </xf>
    <xf numFmtId="0" fontId="38" fillId="17" borderId="68" xfId="0" applyFont="1" applyFill="1" applyBorder="1" applyAlignment="1">
      <alignment horizontal="left"/>
    </xf>
    <xf numFmtId="0" fontId="8" fillId="0" borderId="60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58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wdp"/><Relationship Id="rId5" Type="http://schemas.openxmlformats.org/officeDocument/2006/relationships/image" Target="../media/image5.png"/><Relationship Id="rId4" Type="http://schemas.openxmlformats.org/officeDocument/2006/relationships/image" Target="../media/image4.wdp"/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wdp"/><Relationship Id="rId5" Type="http://schemas.openxmlformats.org/officeDocument/2006/relationships/image" Target="../media/image5.png"/><Relationship Id="rId4" Type="http://schemas.openxmlformats.org/officeDocument/2006/relationships/image" Target="../media/image4.wdp"/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wdp"/><Relationship Id="rId5" Type="http://schemas.openxmlformats.org/officeDocument/2006/relationships/image" Target="../media/image5.png"/><Relationship Id="rId4" Type="http://schemas.openxmlformats.org/officeDocument/2006/relationships/image" Target="../media/image4.wdp"/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wdp"/><Relationship Id="rId5" Type="http://schemas.openxmlformats.org/officeDocument/2006/relationships/image" Target="../media/image5.png"/><Relationship Id="rId4" Type="http://schemas.openxmlformats.org/officeDocument/2006/relationships/image" Target="../media/image4.wdp"/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200604</xdr:colOff>
      <xdr:row>2</xdr:row>
      <xdr:rowOff>73819</xdr:rowOff>
    </xdr:from>
    <xdr:to>
      <xdr:col>14</xdr:col>
      <xdr:colOff>560266</xdr:colOff>
      <xdr:row>2</xdr:row>
      <xdr:rowOff>73819</xdr:rowOff>
    </xdr:to>
    <xdr:cxnSp>
      <xdr:nvCxnSpPr>
        <xdr:cNvPr id="2" name="Straight Connector 1"/>
        <xdr:cNvCxnSpPr/>
      </xdr:nvCxnSpPr>
      <xdr:spPr>
        <a:xfrm>
          <a:off x="9030335" y="1121410"/>
          <a:ext cx="17824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3" name="Straight Connector 2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661652</xdr:colOff>
      <xdr:row>1</xdr:row>
      <xdr:rowOff>43302</xdr:rowOff>
    </xdr:from>
    <xdr:to>
      <xdr:col>4</xdr:col>
      <xdr:colOff>324058</xdr:colOff>
      <xdr:row>1</xdr:row>
      <xdr:rowOff>43302</xdr:rowOff>
    </xdr:to>
    <xdr:cxnSp>
      <xdr:nvCxnSpPr>
        <xdr:cNvPr id="4" name="Straight Connector 3"/>
        <xdr:cNvCxnSpPr/>
      </xdr:nvCxnSpPr>
      <xdr:spPr>
        <a:xfrm>
          <a:off x="1601470" y="767080"/>
          <a:ext cx="18630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5" name="Straight Connector 4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6" name="Straight Connector 5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7" name="Straight Connector 6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8" name="Straight Connector 7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9" name="Straight Connector 8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0" name="Straight Connector 9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1" name="Straight Connector 10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2" name="Straight Connector 11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577644</xdr:colOff>
      <xdr:row>27</xdr:row>
      <xdr:rowOff>184355</xdr:rowOff>
    </xdr:from>
    <xdr:to>
      <xdr:col>15</xdr:col>
      <xdr:colOff>568257</xdr:colOff>
      <xdr:row>33</xdr:row>
      <xdr:rowOff>226755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9" b="89879" l="7152" r="89911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696325" y="10299700"/>
          <a:ext cx="2835275" cy="1802765"/>
        </a:xfrm>
        <a:prstGeom prst="rect">
          <a:avLst/>
        </a:prstGeom>
      </xdr:spPr>
    </xdr:pic>
    <xdr:clientData/>
  </xdr:twoCellAnchor>
  <xdr:twoCellAnchor editAs="oneCell">
    <xdr:from>
      <xdr:col>15</xdr:col>
      <xdr:colOff>508777</xdr:colOff>
      <xdr:row>29</xdr:row>
      <xdr:rowOff>90873</xdr:rowOff>
    </xdr:from>
    <xdr:to>
      <xdr:col>20</xdr:col>
      <xdr:colOff>581480</xdr:colOff>
      <xdr:row>33</xdr:row>
      <xdr:rowOff>23553</xdr:rowOff>
    </xdr:to>
    <xdr:pic>
      <xdr:nvPicPr>
        <xdr:cNvPr id="14" name="Picture 13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07" b="93640" l="13871" r="9892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472545" y="10793095"/>
          <a:ext cx="3628390" cy="1106170"/>
        </a:xfrm>
        <a:prstGeom prst="rect">
          <a:avLst/>
        </a:prstGeom>
      </xdr:spPr>
    </xdr:pic>
    <xdr:clientData/>
  </xdr:twoCellAnchor>
  <xdr:twoCellAnchor editAs="oneCell">
    <xdr:from>
      <xdr:col>21</xdr:col>
      <xdr:colOff>235746</xdr:colOff>
      <xdr:row>29</xdr:row>
      <xdr:rowOff>56237</xdr:rowOff>
    </xdr:from>
    <xdr:to>
      <xdr:col>25</xdr:col>
      <xdr:colOff>180357</xdr:colOff>
      <xdr:row>32</xdr:row>
      <xdr:rowOff>82432</xdr:rowOff>
    </xdr:to>
    <xdr:pic>
      <xdr:nvPicPr>
        <xdr:cNvPr id="15" name="Picture 14"/>
        <xdr:cNvPicPr>
          <a:picLocks noChangeAspect="1"/>
        </xdr:cNvPicPr>
      </xdr:nvPicPr>
      <xdr:blipFill>
        <a:blip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211" b="89803" l="6982" r="95585">
                      <a14:foregroundMark x1="3388" y1="12829" x2="16530" y2="9539"/>
                      <a14:foregroundMark x1="16530" y1="9539" x2="16324" y2="56250"/>
                      <a14:foregroundMark x1="16324" y1="56250" x2="18172" y2="74013"/>
                      <a14:foregroundMark x1="18172" y1="74013" x2="23717" y2="86513"/>
                      <a14:foregroundMark x1="23717" y1="86513" x2="24538" y2="86513"/>
                      <a14:foregroundMark x1="7084" y1="10526" x2="12731" y2="16776"/>
                      <a14:foregroundMark x1="12731" y1="16776" x2="14784" y2="16776"/>
                      <a14:foregroundMark x1="86756" y1="51974" x2="95072" y2="41447"/>
                      <a14:foregroundMark x1="95072" y1="41447" x2="90554" y2="54605"/>
                      <a14:foregroundMark x1="90554" y1="54605" x2="87885" y2="54605"/>
                      <a14:foregroundMark x1="93840" y1="45724" x2="92094" y2="52961"/>
                      <a14:foregroundMark x1="95277" y1="46382" x2="95585" y2="503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1386297">
          <a:off x="15466695" y="10758170"/>
          <a:ext cx="2789555" cy="9061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425738</xdr:colOff>
      <xdr:row>2</xdr:row>
      <xdr:rowOff>73819</xdr:rowOff>
    </xdr:from>
    <xdr:to>
      <xdr:col>15</xdr:col>
      <xdr:colOff>75354</xdr:colOff>
      <xdr:row>2</xdr:row>
      <xdr:rowOff>73819</xdr:rowOff>
    </xdr:to>
    <xdr:cxnSp>
      <xdr:nvCxnSpPr>
        <xdr:cNvPr id="2" name="Straight Connector 1"/>
        <xdr:cNvCxnSpPr/>
      </xdr:nvCxnSpPr>
      <xdr:spPr>
        <a:xfrm>
          <a:off x="9255760" y="112141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3" name="Straight Connector 2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176743</xdr:colOff>
      <xdr:row>1</xdr:row>
      <xdr:rowOff>181848</xdr:rowOff>
    </xdr:from>
    <xdr:to>
      <xdr:col>4</xdr:col>
      <xdr:colOff>618467</xdr:colOff>
      <xdr:row>1</xdr:row>
      <xdr:rowOff>181848</xdr:rowOff>
    </xdr:to>
    <xdr:cxnSp>
      <xdr:nvCxnSpPr>
        <xdr:cNvPr id="4" name="Straight Connector 3"/>
        <xdr:cNvCxnSpPr/>
      </xdr:nvCxnSpPr>
      <xdr:spPr>
        <a:xfrm>
          <a:off x="1894840" y="905510"/>
          <a:ext cx="1863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5" name="Straight Connector 4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6" name="Straight Connector 5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7" name="Straight Connector 6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8" name="Straight Connector 7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9" name="Straight Connector 8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0" name="Straight Connector 9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1" name="Straight Connector 10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2" name="Straight Connector 11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639097</xdr:colOff>
      <xdr:row>28</xdr:row>
      <xdr:rowOff>147484</xdr:rowOff>
    </xdr:from>
    <xdr:to>
      <xdr:col>15</xdr:col>
      <xdr:colOff>629710</xdr:colOff>
      <xdr:row>34</xdr:row>
      <xdr:rowOff>189885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9" b="89879" l="7152" r="89911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757920" y="10556240"/>
          <a:ext cx="2835275" cy="1802765"/>
        </a:xfrm>
        <a:prstGeom prst="rect">
          <a:avLst/>
        </a:prstGeom>
      </xdr:spPr>
    </xdr:pic>
    <xdr:clientData/>
  </xdr:twoCellAnchor>
  <xdr:twoCellAnchor editAs="oneCell">
    <xdr:from>
      <xdr:col>15</xdr:col>
      <xdr:colOff>570230</xdr:colOff>
      <xdr:row>30</xdr:row>
      <xdr:rowOff>54003</xdr:rowOff>
    </xdr:from>
    <xdr:to>
      <xdr:col>20</xdr:col>
      <xdr:colOff>642933</xdr:colOff>
      <xdr:row>33</xdr:row>
      <xdr:rowOff>281650</xdr:rowOff>
    </xdr:to>
    <xdr:pic>
      <xdr:nvPicPr>
        <xdr:cNvPr id="14" name="Picture 13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07" b="93640" l="13871" r="9892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34140" y="11049635"/>
          <a:ext cx="3628390" cy="1107440"/>
        </a:xfrm>
        <a:prstGeom prst="rect">
          <a:avLst/>
        </a:prstGeom>
      </xdr:spPr>
    </xdr:pic>
    <xdr:clientData/>
  </xdr:twoCellAnchor>
  <xdr:twoCellAnchor editAs="oneCell">
    <xdr:from>
      <xdr:col>21</xdr:col>
      <xdr:colOff>297199</xdr:colOff>
      <xdr:row>30</xdr:row>
      <xdr:rowOff>19367</xdr:rowOff>
    </xdr:from>
    <xdr:to>
      <xdr:col>25</xdr:col>
      <xdr:colOff>241810</xdr:colOff>
      <xdr:row>33</xdr:row>
      <xdr:rowOff>45561</xdr:rowOff>
    </xdr:to>
    <xdr:pic>
      <xdr:nvPicPr>
        <xdr:cNvPr id="15" name="Picture 14"/>
        <xdr:cNvPicPr>
          <a:picLocks noChangeAspect="1"/>
        </xdr:cNvPicPr>
      </xdr:nvPicPr>
      <xdr:blipFill>
        <a:blip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211" b="89803" l="6982" r="95585">
                      <a14:foregroundMark x1="3388" y1="12829" x2="16530" y2="9539"/>
                      <a14:foregroundMark x1="16530" y1="9539" x2="16324" y2="56250"/>
                      <a14:foregroundMark x1="16324" y1="56250" x2="18172" y2="74013"/>
                      <a14:foregroundMark x1="18172" y1="74013" x2="23717" y2="86513"/>
                      <a14:foregroundMark x1="23717" y1="86513" x2="24538" y2="86513"/>
                      <a14:foregroundMark x1="7084" y1="10526" x2="12731" y2="16776"/>
                      <a14:foregroundMark x1="12731" y1="16776" x2="14784" y2="16776"/>
                      <a14:foregroundMark x1="86756" y1="51974" x2="95072" y2="41447"/>
                      <a14:foregroundMark x1="95072" y1="41447" x2="90554" y2="54605"/>
                      <a14:foregroundMark x1="90554" y1="54605" x2="87885" y2="54605"/>
                      <a14:foregroundMark x1="93840" y1="45724" x2="92094" y2="52961"/>
                      <a14:foregroundMark x1="95277" y1="46382" x2="95585" y2="503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1386297">
          <a:off x="15528290" y="11014710"/>
          <a:ext cx="2788920" cy="9061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425738</xdr:colOff>
      <xdr:row>2</xdr:row>
      <xdr:rowOff>73819</xdr:rowOff>
    </xdr:from>
    <xdr:to>
      <xdr:col>15</xdr:col>
      <xdr:colOff>75354</xdr:colOff>
      <xdr:row>2</xdr:row>
      <xdr:rowOff>73819</xdr:rowOff>
    </xdr:to>
    <xdr:cxnSp>
      <xdr:nvCxnSpPr>
        <xdr:cNvPr id="2" name="Straight Connector 1"/>
        <xdr:cNvCxnSpPr/>
      </xdr:nvCxnSpPr>
      <xdr:spPr>
        <a:xfrm>
          <a:off x="9255760" y="112141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3" name="Straight Connector 2"/>
        <xdr:cNvCxnSpPr/>
      </xdr:nvCxnSpPr>
      <xdr:spPr>
        <a:xfrm>
          <a:off x="951865" y="2649855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176743</xdr:colOff>
      <xdr:row>1</xdr:row>
      <xdr:rowOff>181848</xdr:rowOff>
    </xdr:from>
    <xdr:to>
      <xdr:col>4</xdr:col>
      <xdr:colOff>618467</xdr:colOff>
      <xdr:row>1</xdr:row>
      <xdr:rowOff>181848</xdr:rowOff>
    </xdr:to>
    <xdr:cxnSp>
      <xdr:nvCxnSpPr>
        <xdr:cNvPr id="4" name="Straight Connector 3"/>
        <xdr:cNvCxnSpPr/>
      </xdr:nvCxnSpPr>
      <xdr:spPr>
        <a:xfrm>
          <a:off x="1894840" y="905510"/>
          <a:ext cx="1863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5" name="Straight Connector 4"/>
        <xdr:cNvCxnSpPr/>
      </xdr:nvCxnSpPr>
      <xdr:spPr>
        <a:xfrm>
          <a:off x="951865" y="2649855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6" name="Straight Connector 5"/>
        <xdr:cNvCxnSpPr/>
      </xdr:nvCxnSpPr>
      <xdr:spPr>
        <a:xfrm>
          <a:off x="951865" y="2649855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7" name="Straight Connector 6"/>
        <xdr:cNvCxnSpPr/>
      </xdr:nvCxnSpPr>
      <xdr:spPr>
        <a:xfrm>
          <a:off x="951865" y="2649855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8" name="Straight Connector 7"/>
        <xdr:cNvCxnSpPr/>
      </xdr:nvCxnSpPr>
      <xdr:spPr>
        <a:xfrm>
          <a:off x="951865" y="2649855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9" name="Straight Connector 8"/>
        <xdr:cNvCxnSpPr/>
      </xdr:nvCxnSpPr>
      <xdr:spPr>
        <a:xfrm>
          <a:off x="951865" y="2649855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10" name="Straight Connector 9"/>
        <xdr:cNvCxnSpPr/>
      </xdr:nvCxnSpPr>
      <xdr:spPr>
        <a:xfrm>
          <a:off x="951865" y="2649855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11" name="Straight Connector 10"/>
        <xdr:cNvCxnSpPr/>
      </xdr:nvCxnSpPr>
      <xdr:spPr>
        <a:xfrm>
          <a:off x="951865" y="2649855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8</xdr:row>
      <xdr:rowOff>12057</xdr:rowOff>
    </xdr:from>
    <xdr:to>
      <xdr:col>1</xdr:col>
      <xdr:colOff>940443</xdr:colOff>
      <xdr:row>10</xdr:row>
      <xdr:rowOff>0</xdr:rowOff>
    </xdr:to>
    <xdr:cxnSp>
      <xdr:nvCxnSpPr>
        <xdr:cNvPr id="12" name="Straight Connector 11"/>
        <xdr:cNvCxnSpPr/>
      </xdr:nvCxnSpPr>
      <xdr:spPr>
        <a:xfrm>
          <a:off x="951865" y="2649855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554182</xdr:colOff>
      <xdr:row>29</xdr:row>
      <xdr:rowOff>17318</xdr:rowOff>
    </xdr:from>
    <xdr:to>
      <xdr:col>15</xdr:col>
      <xdr:colOff>592637</xdr:colOff>
      <xdr:row>35</xdr:row>
      <xdr:rowOff>63070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9" b="89879" l="7152" r="89911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672830" y="10664190"/>
          <a:ext cx="2883535" cy="1805940"/>
        </a:xfrm>
        <a:prstGeom prst="rect">
          <a:avLst/>
        </a:prstGeom>
      </xdr:spPr>
    </xdr:pic>
    <xdr:clientData/>
  </xdr:twoCellAnchor>
  <xdr:twoCellAnchor editAs="oneCell">
    <xdr:from>
      <xdr:col>15</xdr:col>
      <xdr:colOff>525537</xdr:colOff>
      <xdr:row>30</xdr:row>
      <xdr:rowOff>219363</xdr:rowOff>
    </xdr:from>
    <xdr:to>
      <xdr:col>20</xdr:col>
      <xdr:colOff>648519</xdr:colOff>
      <xdr:row>34</xdr:row>
      <xdr:rowOff>154277</xdr:rowOff>
    </xdr:to>
    <xdr:pic>
      <xdr:nvPicPr>
        <xdr:cNvPr id="14" name="Picture 13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07" b="93640" l="13871" r="9892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489055" y="11159490"/>
          <a:ext cx="3679190" cy="1108075"/>
        </a:xfrm>
        <a:prstGeom prst="rect">
          <a:avLst/>
        </a:prstGeom>
      </xdr:spPr>
    </xdr:pic>
    <xdr:clientData/>
  </xdr:twoCellAnchor>
  <xdr:twoCellAnchor editAs="oneCell">
    <xdr:from>
      <xdr:col>21</xdr:col>
      <xdr:colOff>312840</xdr:colOff>
      <xdr:row>30</xdr:row>
      <xdr:rowOff>184727</xdr:rowOff>
    </xdr:from>
    <xdr:to>
      <xdr:col>25</xdr:col>
      <xdr:colOff>297675</xdr:colOff>
      <xdr:row>33</xdr:row>
      <xdr:rowOff>212597</xdr:rowOff>
    </xdr:to>
    <xdr:pic>
      <xdr:nvPicPr>
        <xdr:cNvPr id="15" name="Picture 14"/>
        <xdr:cNvPicPr>
          <a:picLocks noChangeAspect="1"/>
        </xdr:cNvPicPr>
      </xdr:nvPicPr>
      <xdr:blipFill>
        <a:blip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211" b="89803" l="6982" r="95585">
                      <a14:foregroundMark x1="3388" y1="12829" x2="16530" y2="9539"/>
                      <a14:foregroundMark x1="16530" y1="9539" x2="16324" y2="56250"/>
                      <a14:foregroundMark x1="16324" y1="56250" x2="18172" y2="74013"/>
                      <a14:foregroundMark x1="18172" y1="74013" x2="23717" y2="86513"/>
                      <a14:foregroundMark x1="23717" y1="86513" x2="24538" y2="86513"/>
                      <a14:foregroundMark x1="7084" y1="10526" x2="12731" y2="16776"/>
                      <a14:foregroundMark x1="12731" y1="16776" x2="14784" y2="16776"/>
                      <a14:foregroundMark x1="86756" y1="51974" x2="95072" y2="41447"/>
                      <a14:foregroundMark x1="95072" y1="41447" x2="90554" y2="54605"/>
                      <a14:foregroundMark x1="90554" y1="54605" x2="87885" y2="54605"/>
                      <a14:foregroundMark x1="93840" y1="45724" x2="92094" y2="52961"/>
                      <a14:foregroundMark x1="95277" y1="46382" x2="95585" y2="503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1386297">
          <a:off x="15543530" y="11124565"/>
          <a:ext cx="2829560" cy="908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425738</xdr:colOff>
      <xdr:row>2</xdr:row>
      <xdr:rowOff>73819</xdr:rowOff>
    </xdr:from>
    <xdr:to>
      <xdr:col>15</xdr:col>
      <xdr:colOff>75354</xdr:colOff>
      <xdr:row>2</xdr:row>
      <xdr:rowOff>73819</xdr:rowOff>
    </xdr:to>
    <xdr:cxnSp>
      <xdr:nvCxnSpPr>
        <xdr:cNvPr id="2" name="Straight Connector 1"/>
        <xdr:cNvCxnSpPr/>
      </xdr:nvCxnSpPr>
      <xdr:spPr>
        <a:xfrm>
          <a:off x="9255760" y="112141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3" name="Straight Connector 2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176743</xdr:colOff>
      <xdr:row>1</xdr:row>
      <xdr:rowOff>181848</xdr:rowOff>
    </xdr:from>
    <xdr:to>
      <xdr:col>4</xdr:col>
      <xdr:colOff>618467</xdr:colOff>
      <xdr:row>1</xdr:row>
      <xdr:rowOff>181848</xdr:rowOff>
    </xdr:to>
    <xdr:cxnSp>
      <xdr:nvCxnSpPr>
        <xdr:cNvPr id="4" name="Straight Connector 3"/>
        <xdr:cNvCxnSpPr/>
      </xdr:nvCxnSpPr>
      <xdr:spPr>
        <a:xfrm>
          <a:off x="1894840" y="905510"/>
          <a:ext cx="1863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5" name="Straight Connector 4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6" name="Straight Connector 5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7" name="Straight Connector 6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8" name="Straight Connector 7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9" name="Straight Connector 8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0" name="Straight Connector 9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1" name="Straight Connector 10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12057</xdr:colOff>
      <xdr:row>7</xdr:row>
      <xdr:rowOff>12057</xdr:rowOff>
    </xdr:from>
    <xdr:to>
      <xdr:col>1</xdr:col>
      <xdr:colOff>940443</xdr:colOff>
      <xdr:row>9</xdr:row>
      <xdr:rowOff>0</xdr:rowOff>
    </xdr:to>
    <xdr:cxnSp>
      <xdr:nvCxnSpPr>
        <xdr:cNvPr id="12" name="Straight Connector 11"/>
        <xdr:cNvCxnSpPr/>
      </xdr:nvCxnSpPr>
      <xdr:spPr>
        <a:xfrm>
          <a:off x="951865" y="2411730"/>
          <a:ext cx="766445" cy="65532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554182</xdr:colOff>
      <xdr:row>27</xdr:row>
      <xdr:rowOff>277091</xdr:rowOff>
    </xdr:from>
    <xdr:to>
      <xdr:col>15</xdr:col>
      <xdr:colOff>615435</xdr:colOff>
      <xdr:row>34</xdr:row>
      <xdr:rowOff>62924</xdr:rowOff>
    </xdr:to>
    <xdr:pic>
      <xdr:nvPicPr>
        <xdr:cNvPr id="13" name="Picture 12"/>
        <xdr:cNvPicPr>
          <a:picLocks noChangeAspect="1"/>
        </xdr:cNvPicPr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19" b="89879" l="7152" r="89911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672830" y="10392410"/>
          <a:ext cx="2906395" cy="1839595"/>
        </a:xfrm>
        <a:prstGeom prst="rect">
          <a:avLst/>
        </a:prstGeom>
      </xdr:spPr>
    </xdr:pic>
    <xdr:clientData/>
  </xdr:twoCellAnchor>
  <xdr:twoCellAnchor editAs="oneCell">
    <xdr:from>
      <xdr:col>15</xdr:col>
      <xdr:colOff>542636</xdr:colOff>
      <xdr:row>29</xdr:row>
      <xdr:rowOff>196272</xdr:rowOff>
    </xdr:from>
    <xdr:to>
      <xdr:col>20</xdr:col>
      <xdr:colOff>699815</xdr:colOff>
      <xdr:row>33</xdr:row>
      <xdr:rowOff>148359</xdr:rowOff>
    </xdr:to>
    <xdr:pic>
      <xdr:nvPicPr>
        <xdr:cNvPr id="14" name="Picture 13"/>
        <xdr:cNvPicPr>
          <a:picLocks noChangeAspect="1"/>
        </xdr:cNvPicPr>
      </xdr:nvPicPr>
      <xdr:blipFill>
        <a:blip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07" b="93640" l="13871" r="98925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06200" y="10898505"/>
          <a:ext cx="3713480" cy="1125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364136</xdr:colOff>
      <xdr:row>29</xdr:row>
      <xdr:rowOff>161636</xdr:rowOff>
    </xdr:from>
    <xdr:to>
      <xdr:col>25</xdr:col>
      <xdr:colOff>369578</xdr:colOff>
      <xdr:row>32</xdr:row>
      <xdr:rowOff>205509</xdr:rowOff>
    </xdr:to>
    <xdr:pic>
      <xdr:nvPicPr>
        <xdr:cNvPr id="15" name="Picture 14"/>
        <xdr:cNvPicPr>
          <a:picLocks noChangeAspect="1"/>
        </xdr:cNvPicPr>
      </xdr:nvPicPr>
      <xdr:blipFill>
        <a:blip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9211" b="89803" l="6982" r="95585">
                      <a14:foregroundMark x1="3388" y1="12829" x2="16530" y2="9539"/>
                      <a14:foregroundMark x1="16530" y1="9539" x2="16324" y2="56250"/>
                      <a14:foregroundMark x1="16324" y1="56250" x2="18172" y2="74013"/>
                      <a14:foregroundMark x1="18172" y1="74013" x2="23717" y2="86513"/>
                      <a14:foregroundMark x1="23717" y1="86513" x2="24538" y2="86513"/>
                      <a14:foregroundMark x1="7084" y1="10526" x2="12731" y2="16776"/>
                      <a14:foregroundMark x1="12731" y1="16776" x2="14784" y2="16776"/>
                      <a14:foregroundMark x1="86756" y1="51974" x2="95072" y2="41447"/>
                      <a14:foregroundMark x1="95072" y1="41447" x2="90554" y2="54605"/>
                      <a14:foregroundMark x1="90554" y1="54605" x2="87885" y2="54605"/>
                      <a14:foregroundMark x1="93840" y1="45724" x2="92094" y2="52961"/>
                      <a14:foregroundMark x1="95277" y1="46382" x2="95585" y2="5032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21386297">
          <a:off x="15594965" y="10863580"/>
          <a:ext cx="2850515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8"/>
  <sheetViews>
    <sheetView zoomScale="62" zoomScaleNormal="62" workbookViewId="0">
      <selection activeCell="AC15" sqref="AC15"/>
    </sheetView>
  </sheetViews>
  <sheetFormatPr defaultColWidth="9.1047619047619" defaultRowHeight="15"/>
  <cols>
    <col min="1" max="1" width="14.1047619047619" style="2" customWidth="1"/>
    <col min="2" max="2" width="11.6666666666667" style="2" customWidth="1"/>
    <col min="3" max="26" width="10.6666666666667" style="2" customWidth="1"/>
    <col min="27" max="16384" width="9.1047619047619" style="2"/>
  </cols>
  <sheetData>
    <row r="1" ht="57" customHeight="1" spans="1:33">
      <c r="A1" s="579" t="s">
        <v>0</v>
      </c>
      <c r="B1" s="579"/>
      <c r="C1" s="579"/>
      <c r="D1" s="579"/>
      <c r="E1" s="579"/>
      <c r="F1" s="579"/>
      <c r="G1" s="579"/>
      <c r="H1" s="4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 t="s">
        <v>2</v>
      </c>
      <c r="W1" s="6" t="s">
        <v>3</v>
      </c>
    </row>
    <row r="2" ht="25.5" customHeight="1" spans="1:33">
      <c r="A2" s="580"/>
      <c r="B2" s="580"/>
      <c r="C2" s="580"/>
      <c r="D2" s="580"/>
      <c r="E2" s="580"/>
      <c r="F2" s="580"/>
      <c r="G2" s="580"/>
      <c r="H2" s="7" t="s">
        <v>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9" t="s">
        <v>5</v>
      </c>
    </row>
    <row r="3" ht="20.25" spans="1:33">
      <c r="V3" s="10" t="s">
        <v>6</v>
      </c>
      <c r="X3" s="10" t="s">
        <v>7</v>
      </c>
    </row>
    <row r="4" ht="20.25" spans="1:33">
      <c r="V4" s="10" t="s">
        <v>8</v>
      </c>
    </row>
    <row r="5" ht="25.5" customHeight="1" spans="1:33">
      <c r="H5" s="11"/>
      <c r="J5" s="12" t="s">
        <v>9</v>
      </c>
      <c r="V5" s="10" t="s">
        <v>10</v>
      </c>
    </row>
    <row r="6" ht="15.75"/>
    <row r="7" ht="24.75" customHeight="1" spans="1:33">
      <c r="A7" s="13" t="s">
        <v>11</v>
      </c>
      <c r="B7" s="14" t="s">
        <v>12</v>
      </c>
      <c r="C7" s="15">
        <v>3</v>
      </c>
      <c r="D7" s="16"/>
      <c r="E7" s="16"/>
      <c r="F7" s="17"/>
      <c r="G7" s="15">
        <v>4</v>
      </c>
      <c r="H7" s="16"/>
      <c r="I7" s="16"/>
      <c r="J7" s="17"/>
      <c r="K7" s="15">
        <v>5</v>
      </c>
      <c r="L7" s="16"/>
      <c r="M7" s="16"/>
      <c r="N7" s="16"/>
      <c r="O7" s="17"/>
      <c r="P7" s="15">
        <v>6</v>
      </c>
      <c r="Q7" s="16"/>
      <c r="R7" s="16"/>
      <c r="S7" s="17"/>
      <c r="T7" s="18" t="s">
        <v>13</v>
      </c>
      <c r="U7" s="19"/>
      <c r="V7" s="19"/>
      <c r="W7" s="19"/>
      <c r="X7" s="20"/>
      <c r="Y7" s="15">
        <v>8</v>
      </c>
      <c r="Z7" s="17"/>
    </row>
    <row r="8" ht="19.5" customHeight="1" spans="1:33">
      <c r="A8" s="21"/>
      <c r="B8" s="22" t="s">
        <v>14</v>
      </c>
      <c r="C8" s="23">
        <v>1</v>
      </c>
      <c r="D8" s="24">
        <v>2</v>
      </c>
      <c r="E8" s="24">
        <v>3</v>
      </c>
      <c r="F8" s="25">
        <v>4</v>
      </c>
      <c r="G8" s="23">
        <v>5</v>
      </c>
      <c r="H8" s="24">
        <v>6</v>
      </c>
      <c r="I8" s="24">
        <v>7</v>
      </c>
      <c r="J8" s="25">
        <v>8</v>
      </c>
      <c r="K8" s="23">
        <v>9</v>
      </c>
      <c r="L8" s="24">
        <v>10</v>
      </c>
      <c r="M8" s="24">
        <v>11</v>
      </c>
      <c r="N8" s="24">
        <v>12</v>
      </c>
      <c r="O8" s="25">
        <v>13</v>
      </c>
      <c r="P8" s="23">
        <v>14</v>
      </c>
      <c r="Q8" s="24">
        <v>15</v>
      </c>
      <c r="R8" s="24">
        <v>16</v>
      </c>
      <c r="S8" s="25">
        <v>17</v>
      </c>
      <c r="T8" s="23">
        <v>18</v>
      </c>
      <c r="U8" s="24">
        <v>19</v>
      </c>
      <c r="V8" s="24">
        <v>20</v>
      </c>
      <c r="W8" s="24">
        <v>21</v>
      </c>
      <c r="X8" s="25">
        <v>22</v>
      </c>
      <c r="Y8" s="23">
        <v>23</v>
      </c>
      <c r="Z8" s="26">
        <v>24</v>
      </c>
    </row>
    <row r="9" ht="33" customHeight="1" spans="1:33">
      <c r="A9" s="27"/>
      <c r="B9" s="28" t="s">
        <v>15</v>
      </c>
      <c r="C9" s="29" t="s">
        <v>16</v>
      </c>
      <c r="D9" s="30" t="s">
        <v>17</v>
      </c>
      <c r="E9" s="30" t="s">
        <v>18</v>
      </c>
      <c r="F9" s="31" t="s">
        <v>19</v>
      </c>
      <c r="G9" s="29" t="s">
        <v>20</v>
      </c>
      <c r="H9" s="30" t="s">
        <v>21</v>
      </c>
      <c r="I9" s="30" t="s">
        <v>22</v>
      </c>
      <c r="J9" s="31" t="s">
        <v>23</v>
      </c>
      <c r="K9" s="29" t="s">
        <v>24</v>
      </c>
      <c r="L9" s="30" t="s">
        <v>25</v>
      </c>
      <c r="M9" s="30" t="s">
        <v>26</v>
      </c>
      <c r="N9" s="30" t="s">
        <v>27</v>
      </c>
      <c r="O9" s="31" t="s">
        <v>28</v>
      </c>
      <c r="P9" s="29" t="s">
        <v>29</v>
      </c>
      <c r="Q9" s="30" t="s">
        <v>30</v>
      </c>
      <c r="R9" s="30" t="s">
        <v>31</v>
      </c>
      <c r="S9" s="31" t="s">
        <v>32</v>
      </c>
      <c r="T9" s="29" t="s">
        <v>33</v>
      </c>
      <c r="U9" s="30" t="s">
        <v>34</v>
      </c>
      <c r="V9" s="30" t="s">
        <v>35</v>
      </c>
      <c r="W9" s="581" t="s">
        <v>23</v>
      </c>
      <c r="X9" s="582" t="s">
        <v>36</v>
      </c>
      <c r="Y9" s="583" t="s">
        <v>37</v>
      </c>
      <c r="Z9" s="584" t="s">
        <v>38</v>
      </c>
    </row>
    <row r="10" ht="39.9" customHeight="1" spans="1:33">
      <c r="A10" s="13">
        <v>2</v>
      </c>
      <c r="B10" s="33" t="s">
        <v>39</v>
      </c>
      <c r="C10" s="585"/>
      <c r="D10" s="586" t="s">
        <v>40</v>
      </c>
      <c r="E10" s="587"/>
      <c r="F10" s="588"/>
      <c r="G10" s="443"/>
      <c r="H10" s="587"/>
      <c r="I10" s="417"/>
      <c r="J10" s="418"/>
      <c r="K10" s="39" t="s">
        <v>41</v>
      </c>
      <c r="L10" s="419"/>
      <c r="M10" s="419"/>
      <c r="N10" s="417"/>
      <c r="O10" s="418"/>
      <c r="P10" s="589"/>
      <c r="Q10" s="590"/>
      <c r="R10" s="590"/>
      <c r="S10" s="591" t="s">
        <v>42</v>
      </c>
      <c r="T10" s="592" t="s">
        <v>43</v>
      </c>
      <c r="U10" s="423"/>
      <c r="V10" s="424"/>
      <c r="W10" s="49" t="s">
        <v>44</v>
      </c>
      <c r="X10" s="49"/>
      <c r="Y10" s="49"/>
      <c r="Z10" s="50"/>
      <c r="AC10" s="51"/>
      <c r="AD10" s="52"/>
    </row>
    <row r="11" ht="39.9" customHeight="1" spans="1:33">
      <c r="A11" s="53"/>
      <c r="B11" s="54" t="s">
        <v>45</v>
      </c>
      <c r="C11" s="593"/>
      <c r="D11" s="594"/>
      <c r="E11" s="594"/>
      <c r="F11" s="595"/>
      <c r="G11" s="596"/>
      <c r="H11" s="597"/>
      <c r="I11" s="598"/>
      <c r="J11" s="599"/>
      <c r="K11" s="58"/>
      <c r="L11" s="598"/>
      <c r="M11" s="600" t="s">
        <v>46</v>
      </c>
      <c r="N11" s="601"/>
      <c r="O11" s="602"/>
      <c r="P11" s="603"/>
      <c r="Q11" s="601"/>
      <c r="R11" s="601"/>
      <c r="S11" s="602"/>
      <c r="T11" s="604" t="s">
        <v>47</v>
      </c>
      <c r="U11" s="438"/>
      <c r="V11" s="439"/>
      <c r="W11" s="49"/>
      <c r="X11" s="49"/>
      <c r="Y11" s="49"/>
      <c r="Z11" s="50"/>
      <c r="AC11" s="69"/>
      <c r="AD11" s="69"/>
    </row>
    <row r="12" ht="39.9" customHeight="1" spans="1:33">
      <c r="A12" s="70">
        <v>3</v>
      </c>
      <c r="B12" s="33" t="s">
        <v>39</v>
      </c>
      <c r="C12" s="605"/>
      <c r="D12" s="470"/>
      <c r="E12" s="470"/>
      <c r="F12" s="606"/>
      <c r="G12" s="412"/>
      <c r="H12" s="470"/>
      <c r="I12" s="413"/>
      <c r="J12" s="607"/>
      <c r="K12" s="608"/>
      <c r="L12" s="609"/>
      <c r="M12" s="610"/>
      <c r="N12" s="610"/>
      <c r="O12" s="611"/>
      <c r="P12" s="612"/>
      <c r="Q12" s="613"/>
      <c r="R12" s="610"/>
      <c r="S12" s="611"/>
      <c r="T12" s="453"/>
      <c r="U12" s="454"/>
      <c r="V12" s="454"/>
      <c r="W12" s="49"/>
      <c r="X12" s="49"/>
      <c r="Y12" s="49"/>
      <c r="Z12" s="50"/>
      <c r="AC12" s="84"/>
      <c r="AD12" s="84"/>
      <c r="AE12" s="84"/>
      <c r="AF12" s="84"/>
    </row>
    <row r="13" ht="39.9" customHeight="1" spans="1:33">
      <c r="A13" s="53"/>
      <c r="B13" s="54" t="s">
        <v>45</v>
      </c>
      <c r="C13" s="593"/>
      <c r="D13" s="426"/>
      <c r="E13" s="426"/>
      <c r="F13" s="427"/>
      <c r="G13" s="614" t="s">
        <v>48</v>
      </c>
      <c r="H13" s="432"/>
      <c r="I13" s="483"/>
      <c r="J13" s="483"/>
      <c r="K13" s="615"/>
      <c r="L13" s="616"/>
      <c r="M13" s="616"/>
      <c r="N13" s="616"/>
      <c r="O13" s="617"/>
      <c r="P13" s="615"/>
      <c r="Q13" s="616"/>
      <c r="R13" s="616"/>
      <c r="S13" s="618"/>
      <c r="T13" s="467"/>
      <c r="U13" s="468"/>
      <c r="V13" s="468"/>
      <c r="W13" s="49"/>
      <c r="X13" s="49"/>
      <c r="Y13" s="49"/>
      <c r="Z13" s="50"/>
      <c r="AC13" s="102">
        <f>30/4</f>
        <v>7.5</v>
      </c>
      <c r="AD13" s="102"/>
      <c r="AE13" s="102"/>
      <c r="AF13" s="102"/>
      <c r="AG13" s="103">
        <v>9</v>
      </c>
    </row>
    <row r="14" ht="39.9" customHeight="1" spans="1:33">
      <c r="A14" s="70">
        <v>4</v>
      </c>
      <c r="B14" s="33" t="s">
        <v>39</v>
      </c>
      <c r="C14" s="605"/>
      <c r="D14" s="441"/>
      <c r="E14" s="441"/>
      <c r="F14" s="442"/>
      <c r="G14" s="443"/>
      <c r="H14" s="587"/>
      <c r="I14" s="417"/>
      <c r="J14" s="418"/>
      <c r="K14" s="474"/>
      <c r="L14" s="419"/>
      <c r="M14" s="417"/>
      <c r="N14" s="475"/>
      <c r="O14" s="476" t="s">
        <v>49</v>
      </c>
      <c r="P14" s="589"/>
      <c r="Q14" s="590"/>
      <c r="R14" s="590"/>
      <c r="S14" s="452"/>
      <c r="T14" s="619" t="s">
        <v>50</v>
      </c>
      <c r="U14" s="424"/>
      <c r="V14" s="424"/>
      <c r="W14" s="49"/>
      <c r="X14" s="49"/>
      <c r="Y14" s="49"/>
      <c r="Z14" s="50"/>
      <c r="AC14" s="102">
        <f>15/4</f>
        <v>3.75</v>
      </c>
      <c r="AD14" s="102"/>
      <c r="AE14" s="102"/>
      <c r="AF14" s="102"/>
      <c r="AG14" s="114">
        <v>5</v>
      </c>
    </row>
    <row r="15" ht="39.9" customHeight="1" spans="1:33">
      <c r="A15" s="53"/>
      <c r="B15" s="54" t="s">
        <v>45</v>
      </c>
      <c r="C15" s="593"/>
      <c r="D15" s="594"/>
      <c r="E15" s="597"/>
      <c r="F15" s="620"/>
      <c r="G15" s="621"/>
      <c r="H15" s="622"/>
      <c r="I15" s="594" t="s">
        <v>51</v>
      </c>
      <c r="J15" s="623"/>
      <c r="K15" s="624" t="s">
        <v>52</v>
      </c>
      <c r="L15" s="625"/>
      <c r="M15" s="626"/>
      <c r="N15" s="627"/>
      <c r="O15" s="628"/>
      <c r="P15" s="629"/>
      <c r="Q15" s="626"/>
      <c r="R15" s="626"/>
      <c r="S15" s="630"/>
      <c r="T15" s="631"/>
      <c r="U15" s="490"/>
      <c r="V15" s="468"/>
      <c r="W15" s="49"/>
      <c r="X15" s="49"/>
      <c r="Y15" s="49"/>
      <c r="Z15" s="50"/>
    </row>
    <row r="16" ht="39.9" customHeight="1" spans="1:33">
      <c r="A16" s="70">
        <v>5</v>
      </c>
      <c r="B16" s="33" t="s">
        <v>39</v>
      </c>
      <c r="C16" s="632"/>
      <c r="D16" s="470"/>
      <c r="E16" s="470"/>
      <c r="F16" s="606"/>
      <c r="G16" s="633" t="s">
        <v>53</v>
      </c>
      <c r="H16" s="470"/>
      <c r="I16" s="634"/>
      <c r="J16" s="635"/>
      <c r="K16" s="160" t="s">
        <v>54</v>
      </c>
      <c r="L16" s="636" t="s">
        <v>53</v>
      </c>
      <c r="M16" s="637"/>
      <c r="N16" s="637"/>
      <c r="O16" s="638"/>
      <c r="P16" s="633" t="s">
        <v>53</v>
      </c>
      <c r="Q16" s="637"/>
      <c r="R16" s="639"/>
      <c r="S16" s="640" t="s">
        <v>55</v>
      </c>
      <c r="T16" s="498" t="s">
        <v>53</v>
      </c>
      <c r="U16" s="499"/>
      <c r="V16" s="500"/>
      <c r="W16" s="49"/>
      <c r="X16" s="49"/>
      <c r="Y16" s="49"/>
      <c r="Z16" s="50"/>
    </row>
    <row r="17" ht="36.75" customHeight="1" spans="1:31">
      <c r="A17" s="53"/>
      <c r="B17" s="54" t="s">
        <v>45</v>
      </c>
      <c r="C17" s="593"/>
      <c r="D17" s="426"/>
      <c r="E17" s="426"/>
      <c r="F17" s="427"/>
      <c r="G17" s="641" t="s">
        <v>56</v>
      </c>
      <c r="H17" s="642" t="s">
        <v>57</v>
      </c>
      <c r="I17" s="432"/>
      <c r="J17" s="643"/>
      <c r="K17" s="644"/>
      <c r="L17" s="432"/>
      <c r="M17" s="645"/>
      <c r="N17" s="646"/>
      <c r="O17" s="647"/>
      <c r="P17" s="648"/>
      <c r="Q17" s="645"/>
      <c r="R17" s="645"/>
      <c r="S17" s="649" t="s">
        <v>58</v>
      </c>
      <c r="T17" s="391"/>
      <c r="U17" s="510"/>
      <c r="V17" s="511"/>
      <c r="W17" s="49"/>
      <c r="X17" s="49"/>
      <c r="Y17" s="49"/>
      <c r="Z17" s="50"/>
      <c r="AE17" s="156"/>
    </row>
    <row r="18" ht="42" customHeight="1" spans="1:31">
      <c r="A18" s="70">
        <v>6</v>
      </c>
      <c r="B18" s="33" t="s">
        <v>39</v>
      </c>
      <c r="C18" s="605"/>
      <c r="D18" s="441"/>
      <c r="E18" s="441"/>
      <c r="F18" s="442"/>
      <c r="G18" s="650"/>
      <c r="H18" s="651"/>
      <c r="I18" s="140" t="s">
        <v>59</v>
      </c>
      <c r="J18" s="652" t="s">
        <v>60</v>
      </c>
      <c r="K18" s="160" t="s">
        <v>61</v>
      </c>
      <c r="L18" s="419"/>
      <c r="M18" s="518"/>
      <c r="N18" s="519"/>
      <c r="O18" s="653"/>
      <c r="P18" s="654"/>
      <c r="Q18" s="655"/>
      <c r="R18" s="656"/>
      <c r="S18" s="657"/>
      <c r="T18" s="658" t="s">
        <v>62</v>
      </c>
      <c r="U18" s="454"/>
      <c r="V18" s="454"/>
      <c r="W18" s="49"/>
      <c r="X18" s="49"/>
      <c r="Y18" s="49"/>
      <c r="Z18" s="50"/>
    </row>
    <row r="19" ht="38.25" customHeight="1" spans="1:31">
      <c r="A19" s="27"/>
      <c r="B19" s="168" t="s">
        <v>45</v>
      </c>
      <c r="C19" s="659"/>
      <c r="D19" s="660"/>
      <c r="E19" s="661"/>
      <c r="F19" s="662"/>
      <c r="G19" s="663"/>
      <c r="H19" s="664"/>
      <c r="I19" s="665"/>
      <c r="J19" s="666"/>
      <c r="K19" s="174"/>
      <c r="L19" s="667"/>
      <c r="M19" s="668" t="s">
        <v>63</v>
      </c>
      <c r="N19" s="669"/>
      <c r="O19" s="670"/>
      <c r="P19" s="671"/>
      <c r="Q19" s="672"/>
      <c r="R19" s="669"/>
      <c r="S19" s="673"/>
      <c r="T19" s="674"/>
      <c r="U19" s="675"/>
      <c r="V19" s="676" t="s">
        <v>64</v>
      </c>
      <c r="W19" s="186"/>
      <c r="X19" s="186"/>
      <c r="Y19" s="186"/>
      <c r="Z19" s="187"/>
    </row>
    <row r="20" ht="23.25" hidden="1" customHeight="1" spans="1:31">
      <c r="A20" s="188"/>
      <c r="B20" s="189"/>
      <c r="C20" s="190"/>
      <c r="D20" s="190"/>
      <c r="E20" s="190"/>
      <c r="F20" s="190"/>
      <c r="G20" s="190"/>
      <c r="H20" s="190"/>
      <c r="I20" s="191"/>
      <c r="J20" s="192"/>
      <c r="K20" s="190"/>
      <c r="L20" s="190"/>
      <c r="M20" s="190"/>
      <c r="N20" s="190"/>
      <c r="O20" s="190"/>
      <c r="P20" s="190"/>
      <c r="Q20" s="192"/>
      <c r="R20" s="190"/>
      <c r="S20" s="190"/>
      <c r="T20" s="190"/>
      <c r="U20" s="190"/>
      <c r="V20" s="190"/>
      <c r="W20" s="192"/>
      <c r="X20" s="190"/>
      <c r="Y20" s="190"/>
      <c r="Z20" s="193"/>
    </row>
    <row r="21" ht="18.75" spans="1:31">
      <c r="A21" s="677"/>
      <c r="B21" s="678"/>
      <c r="C21" s="678"/>
      <c r="D21" s="679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80"/>
    </row>
    <row r="22" s="1" customFormat="1" ht="29.25" customHeight="1" spans="1:31">
      <c r="A22" s="198" t="s">
        <v>65</v>
      </c>
      <c r="B22" s="199"/>
      <c r="C22" s="200" t="s">
        <v>66</v>
      </c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202"/>
      <c r="AB22" s="203"/>
      <c r="AC22" s="204"/>
      <c r="AD22" s="156"/>
      <c r="AE22" s="156"/>
    </row>
    <row r="23" s="1" customFormat="1" ht="13.5" customHeight="1" spans="1:31">
      <c r="A23" s="681"/>
      <c r="B23" s="682"/>
      <c r="C23" s="683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P23" s="683"/>
      <c r="Q23" s="683"/>
      <c r="R23" s="683"/>
      <c r="S23" s="684"/>
      <c r="T23" s="685"/>
      <c r="U23" s="683"/>
      <c r="V23" s="683"/>
      <c r="W23" s="684"/>
      <c r="X23" s="683"/>
      <c r="Y23" s="685"/>
      <c r="Z23" s="686"/>
      <c r="AA23" s="207"/>
      <c r="AB23" s="203"/>
      <c r="AC23" s="204"/>
      <c r="AD23" s="156"/>
      <c r="AE23" s="156"/>
    </row>
    <row r="24" customFormat="1" ht="25.5" customHeight="1" spans="1:31">
      <c r="A24" s="211" t="s">
        <v>67</v>
      </c>
      <c r="B24" s="212" t="s">
        <v>68</v>
      </c>
      <c r="C24" s="213"/>
      <c r="D24" s="214"/>
      <c r="E24" s="215" t="s">
        <v>69</v>
      </c>
      <c r="F24" s="216" t="s">
        <v>70</v>
      </c>
      <c r="G24" s="217" t="s">
        <v>71</v>
      </c>
      <c r="H24" s="217"/>
      <c r="I24" s="217"/>
      <c r="J24" s="217"/>
      <c r="K24" s="218" t="s">
        <v>72</v>
      </c>
      <c r="L24" s="219"/>
      <c r="M24" s="220" t="s">
        <v>73</v>
      </c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2"/>
      <c r="Z24" s="223"/>
      <c r="AA24" s="196"/>
      <c r="AB24" s="2"/>
      <c r="AC24" s="2"/>
      <c r="AD24" s="156"/>
      <c r="AE24" s="2"/>
    </row>
    <row r="25" customFormat="1" ht="25.5" customHeight="1" spans="1:31">
      <c r="A25" s="224"/>
      <c r="B25" s="225"/>
      <c r="C25" s="226"/>
      <c r="D25" s="227"/>
      <c r="E25" s="228"/>
      <c r="F25" s="229"/>
      <c r="G25" s="230" t="s">
        <v>55</v>
      </c>
      <c r="H25" s="230" t="s">
        <v>43</v>
      </c>
      <c r="I25" s="230" t="s">
        <v>74</v>
      </c>
      <c r="J25" s="229" t="s">
        <v>75</v>
      </c>
      <c r="K25" s="218"/>
      <c r="L25" s="231"/>
      <c r="M25" s="232"/>
      <c r="N25" s="233" t="s">
        <v>76</v>
      </c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4"/>
      <c r="AA25" s="196"/>
      <c r="AB25" s="2"/>
      <c r="AC25" s="2"/>
      <c r="AD25" s="2"/>
      <c r="AE25" s="2"/>
    </row>
    <row r="26" customFormat="1" ht="23.1" customHeight="1" spans="1:31">
      <c r="A26" s="235" t="s">
        <v>77</v>
      </c>
      <c r="B26" s="236" t="s">
        <v>78</v>
      </c>
      <c r="C26" s="237"/>
      <c r="D26" s="238"/>
      <c r="E26" s="239" t="s">
        <v>79</v>
      </c>
      <c r="F26" s="239">
        <v>3</v>
      </c>
      <c r="G26" s="239">
        <v>21</v>
      </c>
      <c r="H26" s="239">
        <v>64</v>
      </c>
      <c r="I26" s="239">
        <v>3</v>
      </c>
      <c r="J26" s="240">
        <f t="shared" ref="J26:J36" si="0">SUM(G26:I26)</f>
        <v>88</v>
      </c>
      <c r="K26" s="241"/>
      <c r="L26" s="242"/>
      <c r="M26" s="243"/>
      <c r="N26" s="244"/>
      <c r="O26" s="245"/>
      <c r="P26" s="246"/>
      <c r="Q26" s="232"/>
      <c r="R26" s="246"/>
      <c r="S26" s="246"/>
      <c r="T26" s="195"/>
      <c r="U26" s="195"/>
      <c r="V26" s="195"/>
      <c r="W26" s="195"/>
      <c r="X26" s="195"/>
      <c r="Y26" s="195"/>
      <c r="Z26" s="197"/>
      <c r="AA26" s="247"/>
      <c r="AB26" s="2"/>
      <c r="AC26" s="2"/>
      <c r="AD26" s="2"/>
      <c r="AE26" s="2"/>
    </row>
    <row r="27" customFormat="1" ht="23.1" customHeight="1" spans="1:31">
      <c r="A27" s="541" t="s">
        <v>80</v>
      </c>
      <c r="B27" s="542" t="s">
        <v>81</v>
      </c>
      <c r="C27" s="543"/>
      <c r="D27" s="544"/>
      <c r="E27" s="545" t="s">
        <v>82</v>
      </c>
      <c r="F27" s="545">
        <v>2</v>
      </c>
      <c r="G27" s="545">
        <v>42</v>
      </c>
      <c r="H27" s="545">
        <v>3</v>
      </c>
      <c r="I27" s="545">
        <v>1</v>
      </c>
      <c r="J27" s="546">
        <f t="shared" si="0"/>
        <v>46</v>
      </c>
      <c r="K27" s="547"/>
      <c r="L27" s="242"/>
      <c r="M27" s="243"/>
      <c r="N27" s="244"/>
      <c r="O27" s="245"/>
      <c r="P27" s="246"/>
      <c r="Q27" s="232"/>
      <c r="R27" s="246"/>
      <c r="S27" s="246"/>
      <c r="T27" s="195"/>
      <c r="U27" s="195"/>
      <c r="V27" s="195"/>
      <c r="W27" s="195"/>
      <c r="X27" s="249" t="s">
        <v>83</v>
      </c>
      <c r="Y27" s="195"/>
      <c r="Z27" s="197"/>
      <c r="AA27" s="247"/>
      <c r="AB27" s="2"/>
      <c r="AC27" s="2"/>
      <c r="AD27" s="2"/>
      <c r="AE27" s="2"/>
    </row>
    <row r="28" customFormat="1" ht="23.1" customHeight="1" spans="1:31">
      <c r="A28" s="548" t="s">
        <v>84</v>
      </c>
      <c r="B28" s="549" t="s">
        <v>85</v>
      </c>
      <c r="C28" s="550"/>
      <c r="D28" s="551"/>
      <c r="E28" s="552" t="s">
        <v>86</v>
      </c>
      <c r="F28" s="552">
        <v>2</v>
      </c>
      <c r="G28" s="552">
        <v>18</v>
      </c>
      <c r="H28" s="552">
        <v>10</v>
      </c>
      <c r="I28" s="552">
        <v>2</v>
      </c>
      <c r="J28" s="553">
        <f t="shared" si="0"/>
        <v>30</v>
      </c>
      <c r="K28" s="554"/>
      <c r="L28" s="257" t="s">
        <v>87</v>
      </c>
      <c r="M28" s="258"/>
      <c r="N28" s="258"/>
      <c r="O28" s="258"/>
      <c r="P28" s="258"/>
      <c r="Q28" s="259"/>
      <c r="R28" s="246"/>
      <c r="S28" s="258" t="s">
        <v>88</v>
      </c>
      <c r="T28" s="196"/>
      <c r="U28" s="195"/>
      <c r="V28" s="195"/>
      <c r="W28" s="195"/>
      <c r="X28" s="232" t="s">
        <v>89</v>
      </c>
      <c r="Y28" s="195"/>
      <c r="Z28" s="197"/>
      <c r="AA28" s="247"/>
      <c r="AB28" s="2"/>
      <c r="AC28" s="2"/>
      <c r="AD28" s="2"/>
      <c r="AE28" s="2"/>
    </row>
    <row r="29" customFormat="1" ht="23.1" customHeight="1" spans="1:31">
      <c r="A29" s="555" t="s">
        <v>90</v>
      </c>
      <c r="B29" s="556" t="s">
        <v>91</v>
      </c>
      <c r="C29" s="557"/>
      <c r="D29" s="558"/>
      <c r="E29" s="559" t="s">
        <v>92</v>
      </c>
      <c r="F29" s="559">
        <v>2</v>
      </c>
      <c r="G29" s="559">
        <v>2</v>
      </c>
      <c r="H29" s="560">
        <v>54</v>
      </c>
      <c r="I29" s="560">
        <v>4</v>
      </c>
      <c r="J29" s="561">
        <f t="shared" si="0"/>
        <v>60</v>
      </c>
      <c r="K29" s="562"/>
      <c r="L29" s="242"/>
      <c r="M29" s="195"/>
      <c r="N29" s="258"/>
      <c r="O29" s="196"/>
      <c r="P29" s="246"/>
      <c r="Q29" s="232"/>
      <c r="R29" s="246"/>
      <c r="S29" s="258" t="s">
        <v>93</v>
      </c>
      <c r="T29" s="196"/>
      <c r="U29" s="195"/>
      <c r="V29" s="195"/>
      <c r="W29" s="195"/>
      <c r="X29" s="232" t="s">
        <v>94</v>
      </c>
      <c r="Y29" s="195"/>
      <c r="Z29" s="197"/>
      <c r="AA29" s="247"/>
      <c r="AB29" s="2"/>
      <c r="AC29" s="2"/>
      <c r="AD29" s="2"/>
      <c r="AE29" s="2"/>
    </row>
    <row r="30" customFormat="1" ht="23.1" customHeight="1" spans="1:31">
      <c r="A30" s="563" t="s">
        <v>95</v>
      </c>
      <c r="B30" s="564" t="s">
        <v>96</v>
      </c>
      <c r="C30" s="565"/>
      <c r="D30" s="566"/>
      <c r="E30" s="567" t="s">
        <v>92</v>
      </c>
      <c r="F30" s="567">
        <v>3</v>
      </c>
      <c r="G30" s="567">
        <v>34</v>
      </c>
      <c r="H30" s="567">
        <v>37</v>
      </c>
      <c r="I30" s="567">
        <v>4</v>
      </c>
      <c r="J30" s="568">
        <f t="shared" si="0"/>
        <v>75</v>
      </c>
      <c r="K30" s="569"/>
      <c r="L30" s="242"/>
      <c r="M30" s="195"/>
      <c r="N30" s="268"/>
      <c r="O30" s="196"/>
      <c r="P30" s="246"/>
      <c r="Q30" s="232"/>
      <c r="R30" s="246"/>
      <c r="S30" s="232"/>
      <c r="T30" s="196"/>
      <c r="U30" s="195"/>
      <c r="V30" s="195"/>
      <c r="W30" s="195"/>
      <c r="X30" s="196"/>
      <c r="Y30" s="195"/>
      <c r="Z30" s="197"/>
      <c r="AA30" s="247"/>
      <c r="AB30" s="2"/>
      <c r="AC30" s="2"/>
      <c r="AD30" s="2"/>
      <c r="AE30" s="2"/>
    </row>
    <row r="31" customFormat="1" ht="23.1" customHeight="1" spans="1:31">
      <c r="A31" s="278" t="s">
        <v>97</v>
      </c>
      <c r="B31" s="279" t="s">
        <v>98</v>
      </c>
      <c r="C31" s="280"/>
      <c r="D31" s="281"/>
      <c r="E31" s="282" t="s">
        <v>82</v>
      </c>
      <c r="F31" s="282">
        <v>2</v>
      </c>
      <c r="G31" s="282">
        <v>40</v>
      </c>
      <c r="H31" s="282">
        <v>15</v>
      </c>
      <c r="I31" s="282">
        <v>3</v>
      </c>
      <c r="J31" s="570">
        <f t="shared" si="0"/>
        <v>58</v>
      </c>
      <c r="K31" s="284"/>
      <c r="L31" s="242"/>
      <c r="M31" s="195"/>
      <c r="N31" s="195"/>
      <c r="O31" s="195"/>
      <c r="P31" s="195"/>
      <c r="Q31" s="195"/>
      <c r="R31" s="195"/>
      <c r="S31" s="277"/>
      <c r="T31" s="196"/>
      <c r="U31" s="195"/>
      <c r="V31" s="195"/>
      <c r="W31" s="195"/>
      <c r="X31" s="268"/>
      <c r="Y31" s="195"/>
      <c r="Z31" s="197"/>
      <c r="AA31" s="249"/>
      <c r="AB31" s="2"/>
      <c r="AC31" s="2"/>
      <c r="AD31" s="2"/>
      <c r="AE31" s="2"/>
    </row>
    <row r="32" customFormat="1" ht="23.1" customHeight="1" spans="1:31">
      <c r="A32" s="285" t="s">
        <v>99</v>
      </c>
      <c r="B32" s="286" t="s">
        <v>100</v>
      </c>
      <c r="C32" s="287"/>
      <c r="D32" s="288"/>
      <c r="E32" s="289" t="s">
        <v>82</v>
      </c>
      <c r="F32" s="289">
        <v>1</v>
      </c>
      <c r="G32" s="289">
        <v>25</v>
      </c>
      <c r="H32" s="289">
        <v>0</v>
      </c>
      <c r="I32" s="289">
        <v>2</v>
      </c>
      <c r="J32" s="290">
        <f t="shared" si="0"/>
        <v>27</v>
      </c>
      <c r="K32" s="291"/>
      <c r="L32" s="242"/>
      <c r="M32" s="195"/>
      <c r="N32" s="195"/>
      <c r="O32" s="196"/>
      <c r="P32" s="195"/>
      <c r="Q32" s="268"/>
      <c r="R32" s="258"/>
      <c r="S32" s="195"/>
      <c r="T32" s="196"/>
      <c r="U32" s="258"/>
      <c r="V32" s="258"/>
      <c r="W32" s="268"/>
      <c r="X32" s="196"/>
      <c r="Y32" s="249"/>
      <c r="Z32" s="197"/>
      <c r="AA32" s="232"/>
      <c r="AB32" s="2"/>
      <c r="AC32" s="2"/>
      <c r="AD32" s="2"/>
      <c r="AE32" s="2"/>
    </row>
    <row r="33" customFormat="1" ht="23.1" customHeight="1" spans="1:31">
      <c r="A33" s="260" t="s">
        <v>101</v>
      </c>
      <c r="B33" s="261" t="s">
        <v>102</v>
      </c>
      <c r="C33" s="262"/>
      <c r="D33" s="263"/>
      <c r="E33" s="264" t="s">
        <v>86</v>
      </c>
      <c r="F33" s="264">
        <v>1</v>
      </c>
      <c r="G33" s="264">
        <v>15</v>
      </c>
      <c r="H33" s="264">
        <v>4</v>
      </c>
      <c r="I33" s="264">
        <v>3</v>
      </c>
      <c r="J33" s="266">
        <f t="shared" si="0"/>
        <v>22</v>
      </c>
      <c r="K33" s="293"/>
      <c r="L33" s="242"/>
      <c r="M33" s="268"/>
      <c r="N33" s="195"/>
      <c r="O33" s="258"/>
      <c r="P33" s="258"/>
      <c r="Q33" s="268"/>
      <c r="R33" s="232"/>
      <c r="S33" s="195"/>
      <c r="T33" s="196"/>
      <c r="U33" s="232"/>
      <c r="V33" s="232"/>
      <c r="W33" s="268"/>
      <c r="X33" s="196"/>
      <c r="Y33" s="232"/>
      <c r="Z33" s="197"/>
      <c r="AA33" s="232"/>
      <c r="AB33" s="2"/>
      <c r="AC33" s="2"/>
      <c r="AD33" s="2"/>
      <c r="AE33" s="2"/>
    </row>
    <row r="34" customFormat="1" ht="22.5" spans="1:31">
      <c r="A34" s="269" t="s">
        <v>103</v>
      </c>
      <c r="B34" s="270" t="s">
        <v>104</v>
      </c>
      <c r="C34" s="271"/>
      <c r="D34" s="272"/>
      <c r="E34" s="273" t="s">
        <v>82</v>
      </c>
      <c r="F34" s="274">
        <v>2</v>
      </c>
      <c r="G34" s="274">
        <v>30</v>
      </c>
      <c r="H34" s="294">
        <v>15</v>
      </c>
      <c r="I34" s="274">
        <v>10</v>
      </c>
      <c r="J34" s="275">
        <f t="shared" si="0"/>
        <v>55</v>
      </c>
      <c r="K34" s="276"/>
      <c r="L34" s="257" t="s">
        <v>105</v>
      </c>
      <c r="M34" s="258"/>
      <c r="N34" s="258"/>
      <c r="O34" s="258"/>
      <c r="P34" s="258"/>
      <c r="Q34" s="259"/>
      <c r="R34" s="195"/>
      <c r="S34" s="258" t="s">
        <v>106</v>
      </c>
      <c r="T34" s="196"/>
      <c r="U34" s="195"/>
      <c r="V34" s="195"/>
      <c r="W34" s="195"/>
      <c r="X34" s="258" t="s">
        <v>107</v>
      </c>
      <c r="Y34" s="195"/>
      <c r="Z34" s="197"/>
      <c r="AA34" s="196"/>
      <c r="AB34" s="2"/>
      <c r="AC34" s="2"/>
      <c r="AD34" s="2"/>
      <c r="AE34" s="2"/>
    </row>
    <row r="35" customFormat="1" ht="22.5" spans="1:31">
      <c r="A35" s="687" t="s">
        <v>108</v>
      </c>
      <c r="B35" s="688" t="s">
        <v>109</v>
      </c>
      <c r="C35" s="688"/>
      <c r="D35" s="688"/>
      <c r="E35" s="689" t="s">
        <v>82</v>
      </c>
      <c r="F35" s="690">
        <v>2</v>
      </c>
      <c r="G35" s="690">
        <v>40</v>
      </c>
      <c r="H35" s="691">
        <v>9</v>
      </c>
      <c r="I35" s="690">
        <v>3</v>
      </c>
      <c r="J35" s="692">
        <f t="shared" si="0"/>
        <v>52</v>
      </c>
      <c r="K35" s="693"/>
      <c r="L35" s="257"/>
      <c r="M35" s="258"/>
      <c r="N35" s="258"/>
      <c r="O35" s="258"/>
      <c r="P35" s="258"/>
      <c r="Q35" s="259"/>
      <c r="R35" s="195"/>
      <c r="S35" s="258"/>
      <c r="T35" s="196"/>
      <c r="U35" s="195"/>
      <c r="V35" s="195"/>
      <c r="W35" s="195"/>
      <c r="X35" s="258"/>
      <c r="Y35" s="195"/>
      <c r="Z35" s="197"/>
      <c r="AA35" s="196"/>
      <c r="AB35" s="2"/>
      <c r="AC35" s="2"/>
      <c r="AD35" s="2"/>
      <c r="AE35" s="2"/>
    </row>
    <row r="36" customFormat="1" ht="22.5" spans="1:31">
      <c r="A36" s="694" t="s">
        <v>110</v>
      </c>
      <c r="B36" s="695" t="s">
        <v>111</v>
      </c>
      <c r="C36" s="695"/>
      <c r="D36" s="695"/>
      <c r="E36" s="696" t="s">
        <v>79</v>
      </c>
      <c r="F36" s="697">
        <v>1</v>
      </c>
      <c r="G36" s="697">
        <v>10</v>
      </c>
      <c r="H36" s="698">
        <v>16</v>
      </c>
      <c r="I36" s="697">
        <v>1</v>
      </c>
      <c r="J36" s="699">
        <f t="shared" si="0"/>
        <v>27</v>
      </c>
      <c r="K36" s="700"/>
      <c r="L36" s="257"/>
      <c r="M36" s="258"/>
      <c r="N36" s="258"/>
      <c r="O36" s="258"/>
      <c r="P36" s="258"/>
      <c r="Q36" s="259"/>
      <c r="R36" s="195"/>
      <c r="S36" s="258"/>
      <c r="T36" s="196"/>
      <c r="U36" s="195"/>
      <c r="V36" s="195"/>
      <c r="W36" s="195"/>
      <c r="X36" s="258"/>
      <c r="Y36" s="195"/>
      <c r="Z36" s="197"/>
      <c r="AA36" s="196"/>
      <c r="AB36" s="2"/>
      <c r="AC36" s="2"/>
      <c r="AD36" s="2"/>
      <c r="AE36" s="2"/>
    </row>
    <row r="37" customFormat="1" ht="23.1" customHeight="1" spans="1:31">
      <c r="A37" s="305" t="s">
        <v>112</v>
      </c>
      <c r="B37" s="306"/>
      <c r="C37" s="306"/>
      <c r="D37" s="306"/>
      <c r="E37" s="307"/>
      <c r="F37" s="308">
        <f>SUM(F26:F34)</f>
        <v>18</v>
      </c>
      <c r="G37" s="308">
        <f>SUM(G26:G34)</f>
        <v>227</v>
      </c>
      <c r="H37" s="308">
        <f>SUM(H26:H34)</f>
        <v>202</v>
      </c>
      <c r="I37" s="308">
        <f>SUM(I26:I34)</f>
        <v>32</v>
      </c>
      <c r="J37" s="308">
        <f>SUM(J26:J34)</f>
        <v>461</v>
      </c>
      <c r="K37" s="309"/>
      <c r="L37" s="701"/>
      <c r="M37" s="702"/>
      <c r="N37" s="702"/>
      <c r="O37" s="702"/>
      <c r="P37" s="702"/>
      <c r="Q37" s="703"/>
      <c r="R37" s="190"/>
      <c r="S37" s="702"/>
      <c r="T37" s="189"/>
      <c r="U37" s="190"/>
      <c r="V37" s="190"/>
      <c r="W37" s="190"/>
      <c r="X37" s="702"/>
      <c r="Y37" s="190"/>
      <c r="Z37" s="193"/>
      <c r="AA37" s="196"/>
      <c r="AB37" s="2"/>
      <c r="AC37" s="2"/>
      <c r="AD37" s="2"/>
      <c r="AE37" s="2"/>
    </row>
    <row r="38" customFormat="1" ht="22.5" spans="1:31">
      <c r="A38" s="196"/>
      <c r="B38" s="196"/>
      <c r="C38" s="196"/>
      <c r="D38" s="196"/>
      <c r="E38" s="196"/>
      <c r="F38" s="196"/>
      <c r="G38" s="196"/>
      <c r="H38" s="196"/>
      <c r="I38" s="195"/>
      <c r="J38" s="246"/>
      <c r="K38" s="196"/>
      <c r="L38" s="195"/>
      <c r="M38" s="195"/>
      <c r="O38" s="196"/>
      <c r="P38" s="195"/>
      <c r="Q38" s="195"/>
      <c r="R38" s="195"/>
      <c r="S38" s="195"/>
      <c r="U38" s="196"/>
      <c r="V38" s="196"/>
      <c r="W38" s="196"/>
      <c r="X38" s="196"/>
      <c r="Y38" s="196"/>
      <c r="AA38" s="196"/>
      <c r="AB38" s="2"/>
      <c r="AC38" s="2"/>
      <c r="AD38" s="2"/>
      <c r="AE38" s="2"/>
    </row>
    <row r="39" ht="18.75" spans="1:31">
      <c r="A39" s="312"/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</row>
    <row r="40" ht="18.75" spans="1:31">
      <c r="A40" s="312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</row>
    <row r="41" ht="18.75" spans="1:31">
      <c r="A41" s="312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</row>
    <row r="42" ht="18.75" spans="1:31">
      <c r="A42" s="312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</row>
    <row r="43" ht="18.75" spans="1:31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</row>
    <row r="44" ht="18.75" spans="1:31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</row>
    <row r="45" ht="18.75" spans="1:31">
      <c r="A45" s="312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3"/>
      <c r="R45" s="312"/>
      <c r="S45" s="312"/>
      <c r="T45" s="312"/>
      <c r="U45" s="312"/>
      <c r="V45" s="312"/>
      <c r="W45" s="312"/>
      <c r="X45" s="312"/>
      <c r="Y45" s="312"/>
    </row>
    <row r="46" ht="18.75" spans="1:31">
      <c r="A46" s="312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</row>
    <row r="47" ht="18.75" spans="1:31">
      <c r="A47" s="312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</row>
    <row r="48" ht="18.75" spans="1:31">
      <c r="A48" s="312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</row>
    <row r="49" ht="18.75" spans="1:25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</row>
    <row r="50" ht="18.75" spans="1: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</row>
    <row r="51" ht="18.75" spans="1: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</row>
    <row r="52" ht="18.75" spans="1:25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</row>
    <row r="53" ht="18.75" spans="1:25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</row>
    <row r="54" ht="18.75" spans="1:25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</row>
    <row r="55" ht="18.75" spans="1: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</row>
    <row r="56" ht="18.75" spans="1:25">
      <c r="A56" s="312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</row>
    <row r="57" ht="18.75" spans="1:25">
      <c r="A57" s="312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</row>
    <row r="58" ht="18.75" spans="1:25">
      <c r="A58" s="312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</row>
    <row r="59" ht="18.75" spans="1:25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</row>
    <row r="60" ht="18.75" spans="1:25">
      <c r="A60" s="312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</row>
    <row r="61" ht="18.75" spans="1:25">
      <c r="A61" s="312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</row>
    <row r="62" ht="18.75" spans="1:25">
      <c r="A62" s="312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</row>
    <row r="63" ht="18.75" spans="1:25">
      <c r="A63" s="312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</row>
    <row r="64" ht="18.75" spans="1:25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</row>
    <row r="65" ht="18.75" spans="1:25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</row>
    <row r="66" ht="18.75" spans="1:25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</row>
    <row r="67" ht="18.75" spans="1:25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</row>
    <row r="68" ht="18.75" spans="1:25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</row>
    <row r="69" ht="18.75" spans="1:25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</row>
    <row r="70" ht="18.75" spans="1:25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</row>
    <row r="71" ht="18.75" spans="1:25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</row>
    <row r="72" ht="18.75" spans="1:25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</row>
    <row r="73" ht="18.75" spans="1:25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</row>
    <row r="74" ht="18.75" spans="1:25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</row>
    <row r="75" ht="18.75" spans="1:25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</row>
    <row r="76" ht="18.75" spans="1:25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</row>
    <row r="77" ht="18.75" spans="1:25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</row>
    <row r="78" ht="18.75" spans="1:25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</row>
    <row r="79" ht="18.75" spans="1:25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</row>
    <row r="80" ht="18.75" spans="1:25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</row>
    <row r="81" ht="18.75" spans="1:25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</row>
    <row r="82" ht="18.75" spans="1:25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</row>
    <row r="83" ht="18.75" spans="1:25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</row>
    <row r="84" ht="18.75" spans="1:25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</row>
    <row r="85" ht="18.75" spans="1:25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</row>
    <row r="86" ht="18.75" spans="1:25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</row>
    <row r="87" ht="18.75" spans="1:25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</row>
    <row r="88" ht="18.75" spans="1:25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</row>
    <row r="89" ht="18.75" spans="1:25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</row>
    <row r="90" ht="18.75" spans="1:25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</row>
    <row r="91" ht="18.75" spans="1:25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</row>
    <row r="92" ht="18.75" spans="1:25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</row>
    <row r="93" ht="18.75" spans="1:25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</row>
    <row r="94" ht="18.75" spans="1:25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</row>
    <row r="95" ht="18.75" spans="1:25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</row>
    <row r="96" ht="18.75" spans="1:25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</row>
    <row r="97" ht="18.75" spans="1:25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</row>
    <row r="98" ht="18.75" spans="1:25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</row>
    <row r="99" ht="18.75" spans="1:25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</row>
    <row r="100" ht="18.75" spans="1:25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</row>
    <row r="101" ht="18.75" spans="1:25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</row>
    <row r="102" ht="18.75" spans="1:25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</row>
    <row r="103" ht="18.75" spans="1:25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</row>
    <row r="104" ht="18.75" spans="1:25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</row>
    <row r="105" ht="18.75" spans="1:25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</row>
    <row r="106" ht="18.75" spans="1:25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</row>
    <row r="107" ht="18.75" spans="1:25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</row>
    <row r="108" ht="18.75" spans="1:25">
      <c r="A108" s="312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</row>
    <row r="109" ht="18.75" spans="1:25">
      <c r="A109" s="312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</row>
    <row r="110" ht="18.75" spans="1:25">
      <c r="A110" s="312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</row>
    <row r="111" ht="18.75" spans="1:25">
      <c r="A111" s="312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</row>
    <row r="112" ht="18.75" spans="1:25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</row>
    <row r="113" ht="18.75" spans="1:25">
      <c r="A113" s="312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</row>
    <row r="114" ht="18.75" spans="1:25">
      <c r="A114" s="312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</row>
    <row r="115" ht="18.75" spans="1:25">
      <c r="A115" s="312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</row>
    <row r="116" ht="18.75" spans="1:25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</row>
    <row r="117" ht="18.75" spans="1:25">
      <c r="A117" s="312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</row>
    <row r="118" ht="18.75" spans="1:25">
      <c r="A118" s="312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</row>
    <row r="119" ht="18.75" spans="1:25">
      <c r="A119" s="312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</row>
    <row r="120" ht="18.75" spans="1:25">
      <c r="A120" s="312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</row>
    <row r="121" ht="18.75" spans="1:25">
      <c r="A121" s="312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</row>
    <row r="122" ht="18.75" spans="1:25">
      <c r="A122" s="312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</row>
    <row r="123" ht="18.75" spans="1:25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</row>
    <row r="124" ht="18.75" spans="1:25">
      <c r="A124" s="312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</row>
    <row r="125" ht="18.75" spans="1:25">
      <c r="A125" s="312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</row>
    <row r="126" ht="18.75" spans="1:25">
      <c r="A126" s="312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</row>
    <row r="127" ht="18.75" spans="1:25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</row>
    <row r="128" ht="18.75" spans="1:25">
      <c r="A128" s="312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</row>
    <row r="129" ht="18.75" spans="1:25">
      <c r="A129" s="312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</row>
    <row r="130" ht="18.75" spans="1:25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</row>
    <row r="131" ht="18.75" spans="1:25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</row>
    <row r="132" ht="18.75" spans="1:25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</row>
    <row r="133" ht="18.75" spans="1:25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</row>
    <row r="134" ht="18.75" spans="1:25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</row>
    <row r="135" ht="18.75" spans="1:25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</row>
    <row r="136" ht="18.75" spans="1:25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</row>
    <row r="137" ht="18.75" spans="1:25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</row>
    <row r="138" ht="18.75" spans="1:25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</row>
    <row r="139" ht="18.75" spans="1:25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</row>
    <row r="140" ht="18.75" spans="1:25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</row>
    <row r="141" ht="18.75" spans="1:25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</row>
    <row r="142" ht="18.75" spans="1:25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</row>
    <row r="143" ht="18.75" spans="1:25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</row>
    <row r="144" ht="18.75" spans="1:25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</row>
    <row r="145" ht="18.75" spans="1:25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</row>
    <row r="146" ht="18.75" spans="1:25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</row>
    <row r="147" ht="18.75" spans="1:25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</row>
    <row r="148" ht="18.75" spans="1:25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</row>
    <row r="149" ht="18.75" spans="1:25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</row>
    <row r="150" ht="18.75" spans="1:25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</row>
    <row r="151" ht="18.75" spans="1:25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</row>
    <row r="152" ht="18.75" spans="1:25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</row>
    <row r="153" ht="18.75" spans="1:25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</row>
    <row r="154" ht="18.75" spans="1:25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</row>
    <row r="155" ht="18.75" spans="1:25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</row>
    <row r="156" ht="18.75" spans="1:25">
      <c r="A156" s="312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</row>
    <row r="157" ht="18.75" spans="1:25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</row>
    <row r="158" ht="18.75" spans="1:25">
      <c r="A158" s="312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</row>
    <row r="159" ht="18.75" spans="1:25">
      <c r="A159" s="312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</row>
    <row r="160" ht="18.75" spans="1:25">
      <c r="A160" s="312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</row>
    <row r="161" ht="18.75" spans="1:25">
      <c r="A161" s="312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</row>
    <row r="162" ht="18.75" spans="1:25">
      <c r="A162" s="312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</row>
    <row r="163" ht="18.75" spans="1:25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</row>
    <row r="164" ht="18.75" spans="1:25">
      <c r="A164" s="312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</row>
    <row r="165" ht="18.75" spans="1:25">
      <c r="A165" s="312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</row>
    <row r="166" ht="18.75" spans="1:25">
      <c r="A166" s="312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</row>
    <row r="167" ht="18.75" spans="1:25">
      <c r="A167" s="312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</row>
    <row r="168" ht="18.75" spans="1:25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</row>
    <row r="169" ht="18.75" spans="1:25">
      <c r="A169" s="312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</row>
    <row r="170" ht="18.75" spans="1:25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</row>
    <row r="171" ht="18.75" spans="1:25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</row>
    <row r="172" ht="18.75" spans="1:25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</row>
    <row r="173" ht="18.75" spans="1:25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</row>
    <row r="174" ht="18.75" spans="1:25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</row>
    <row r="175" ht="18.75" spans="1:25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</row>
    <row r="176" ht="18.75" spans="1:25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</row>
    <row r="177" ht="18.75" spans="1:25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</row>
    <row r="178" ht="18.75" spans="1:25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</row>
    <row r="179" ht="18.75" spans="1:25">
      <c r="A179" s="312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</row>
    <row r="180" ht="18.75" spans="1:25">
      <c r="A180" s="312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</row>
    <row r="181" ht="18.75" spans="1:25">
      <c r="A181" s="312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</row>
    <row r="182" ht="18.75" spans="1:25">
      <c r="A182" s="312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</row>
    <row r="183" ht="18.75" spans="1:25">
      <c r="A183" s="312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</row>
    <row r="184" ht="18.75" spans="1:25">
      <c r="A184" s="312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</row>
    <row r="185" ht="18.75" spans="1:25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</row>
    <row r="186" ht="18.75" spans="1:25">
      <c r="A186" s="312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</row>
    <row r="187" ht="18.75" spans="1:25">
      <c r="A187" s="312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</row>
    <row r="188" ht="18.75" spans="1:25">
      <c r="A188" s="312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</row>
    <row r="189" ht="18.75" spans="1:25">
      <c r="A189" s="312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</row>
    <row r="190" ht="18.75" spans="1:25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</row>
    <row r="191" ht="18.75" spans="1:25">
      <c r="A191" s="312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</row>
    <row r="192" ht="18.75" spans="1:25">
      <c r="A192" s="312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</row>
    <row r="193" ht="18.75" spans="1:25">
      <c r="A193" s="312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</row>
    <row r="194" ht="18.75" spans="1:25">
      <c r="A194" s="312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</row>
    <row r="195" ht="18.75" spans="1:25">
      <c r="A195" s="312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</row>
    <row r="196" ht="18.75" spans="1:25">
      <c r="A196" s="312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</row>
    <row r="197" ht="18.75" spans="1:25">
      <c r="A197" s="312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</row>
    <row r="198" ht="18.75" spans="1:25">
      <c r="A198" s="312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</row>
    <row r="199" ht="18.75" spans="1:25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</row>
    <row r="200" ht="18.75" spans="1:25">
      <c r="A200" s="312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</row>
    <row r="201" ht="18.75" spans="1:25">
      <c r="A201" s="312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</row>
    <row r="202" ht="18.75" spans="1:25">
      <c r="A202" s="312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</row>
    <row r="203" ht="18.75" spans="1:25">
      <c r="A203" s="312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</row>
    <row r="204" ht="18.75" spans="1:25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</row>
    <row r="205" ht="18.75" spans="1:25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</row>
    <row r="206" ht="18.75" spans="1:25">
      <c r="A206" s="312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</row>
    <row r="207" ht="18.75" spans="1:25">
      <c r="A207" s="312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</row>
    <row r="208" ht="18.75" spans="1:25">
      <c r="A208" s="312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</row>
  </sheetData>
  <mergeCells count="47">
    <mergeCell ref="A1:G1"/>
    <mergeCell ref="H1:T1"/>
    <mergeCell ref="H2:T2"/>
    <mergeCell ref="C7:F7"/>
    <mergeCell ref="G7:J7"/>
    <mergeCell ref="K7:O7"/>
    <mergeCell ref="P7:S7"/>
    <mergeCell ref="T7:X7"/>
    <mergeCell ref="Y7:Z7"/>
    <mergeCell ref="AC11:AD11"/>
    <mergeCell ref="AC12:AF12"/>
    <mergeCell ref="AC13:AF13"/>
    <mergeCell ref="AC14:AF14"/>
    <mergeCell ref="A22:B22"/>
    <mergeCell ref="C22:Z22"/>
    <mergeCell ref="G24:J24"/>
    <mergeCell ref="B26:D26"/>
    <mergeCell ref="B27:D27"/>
    <mergeCell ref="B28:D28"/>
    <mergeCell ref="L28:P28"/>
    <mergeCell ref="B29:D29"/>
    <mergeCell ref="B30:D30"/>
    <mergeCell ref="B31:D31"/>
    <mergeCell ref="B32:D32"/>
    <mergeCell ref="B33:D33"/>
    <mergeCell ref="B34:D34"/>
    <mergeCell ref="L34:P34"/>
    <mergeCell ref="B35:D35"/>
    <mergeCell ref="B36:D36"/>
    <mergeCell ref="A37:E37"/>
    <mergeCell ref="L37:P37"/>
    <mergeCell ref="A7:A9"/>
    <mergeCell ref="A10:A11"/>
    <mergeCell ref="A12:A13"/>
    <mergeCell ref="A14:A15"/>
    <mergeCell ref="A16:A17"/>
    <mergeCell ref="A18:A19"/>
    <mergeCell ref="A24:A25"/>
    <mergeCell ref="E24:E25"/>
    <mergeCell ref="F24:F25"/>
    <mergeCell ref="K10:K11"/>
    <mergeCell ref="K16:K17"/>
    <mergeCell ref="K18:K19"/>
    <mergeCell ref="K24:K25"/>
    <mergeCell ref="T18:T19"/>
    <mergeCell ref="B24:D25"/>
    <mergeCell ref="W10:Z19"/>
  </mergeCells>
  <pageMargins left="0.61" right="0.31496062992126" top="0.551181102362205" bottom="0.354330708661417" header="0.31496062992126" footer="0.31496062992126"/>
  <pageSetup paperSize="9" scale="52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8"/>
  <sheetViews>
    <sheetView zoomScale="62" zoomScaleNormal="62" topLeftCell="A18" workbookViewId="0">
      <selection activeCell="K44" sqref="K44"/>
    </sheetView>
  </sheetViews>
  <sheetFormatPr defaultColWidth="9.1047619047619" defaultRowHeight="15"/>
  <cols>
    <col min="1" max="1" width="14.1047619047619" style="2" customWidth="1"/>
    <col min="2" max="2" width="11.6666666666667" style="2" customWidth="1"/>
    <col min="3" max="26" width="10.6666666666667" style="2" customWidth="1"/>
    <col min="27" max="16384" width="9.1047619047619" style="2"/>
  </cols>
  <sheetData>
    <row r="1" ht="57" customHeight="1" spans="1:33">
      <c r="A1" s="3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 t="s">
        <v>2</v>
      </c>
      <c r="W1" s="6" t="s">
        <v>113</v>
      </c>
    </row>
    <row r="2" ht="25.5" customHeight="1" spans="1:33">
      <c r="A2" s="3"/>
      <c r="B2" s="3"/>
      <c r="C2" s="3"/>
      <c r="D2" s="3"/>
      <c r="E2" s="3"/>
      <c r="F2" s="3"/>
      <c r="G2" s="3"/>
      <c r="H2" s="3"/>
      <c r="I2" s="7" t="s">
        <v>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9" t="s">
        <v>114</v>
      </c>
    </row>
    <row r="3" ht="20.25" spans="1:33">
      <c r="V3" s="10" t="s">
        <v>115</v>
      </c>
      <c r="X3" s="10" t="s">
        <v>7</v>
      </c>
    </row>
    <row r="4" ht="20.25" spans="1:33">
      <c r="V4" s="10" t="s">
        <v>116</v>
      </c>
    </row>
    <row r="5" ht="25.5" customHeight="1" spans="1:33">
      <c r="H5" s="11"/>
      <c r="K5" s="12" t="s">
        <v>117</v>
      </c>
      <c r="V5" s="10" t="s">
        <v>118</v>
      </c>
    </row>
    <row r="6" ht="15.75"/>
    <row r="7" ht="24.75" customHeight="1" spans="1:33">
      <c r="A7" s="13" t="s">
        <v>11</v>
      </c>
      <c r="B7" s="14" t="s">
        <v>12</v>
      </c>
      <c r="C7" s="15">
        <v>3</v>
      </c>
      <c r="D7" s="16"/>
      <c r="E7" s="16"/>
      <c r="F7" s="17"/>
      <c r="G7" s="15">
        <v>4</v>
      </c>
      <c r="H7" s="16"/>
      <c r="I7" s="16"/>
      <c r="J7" s="17"/>
      <c r="K7" s="15">
        <v>5</v>
      </c>
      <c r="L7" s="16"/>
      <c r="M7" s="16"/>
      <c r="N7" s="16"/>
      <c r="O7" s="17"/>
      <c r="P7" s="15">
        <v>6</v>
      </c>
      <c r="Q7" s="16"/>
      <c r="R7" s="16"/>
      <c r="S7" s="17"/>
      <c r="T7" s="18" t="s">
        <v>13</v>
      </c>
      <c r="U7" s="19"/>
      <c r="V7" s="19"/>
      <c r="W7" s="19"/>
      <c r="X7" s="20"/>
      <c r="Y7" s="15">
        <v>8</v>
      </c>
      <c r="Z7" s="17"/>
    </row>
    <row r="8" ht="19.5" customHeight="1" spans="1:33">
      <c r="A8" s="21"/>
      <c r="B8" s="22" t="s">
        <v>14</v>
      </c>
      <c r="C8" s="23">
        <v>1</v>
      </c>
      <c r="D8" s="24">
        <v>2</v>
      </c>
      <c r="E8" s="24">
        <v>3</v>
      </c>
      <c r="F8" s="25">
        <v>4</v>
      </c>
      <c r="G8" s="23">
        <v>5</v>
      </c>
      <c r="H8" s="24">
        <v>6</v>
      </c>
      <c r="I8" s="24">
        <v>7</v>
      </c>
      <c r="J8" s="25">
        <v>8</v>
      </c>
      <c r="K8" s="23">
        <v>9</v>
      </c>
      <c r="L8" s="24">
        <v>10</v>
      </c>
      <c r="M8" s="24">
        <v>11</v>
      </c>
      <c r="N8" s="24">
        <v>12</v>
      </c>
      <c r="O8" s="25">
        <v>13</v>
      </c>
      <c r="P8" s="23">
        <v>14</v>
      </c>
      <c r="Q8" s="24">
        <v>15</v>
      </c>
      <c r="R8" s="24">
        <v>16</v>
      </c>
      <c r="S8" s="25">
        <v>17</v>
      </c>
      <c r="T8" s="23">
        <v>18</v>
      </c>
      <c r="U8" s="24">
        <v>19</v>
      </c>
      <c r="V8" s="24">
        <v>20</v>
      </c>
      <c r="W8" s="24">
        <v>21</v>
      </c>
      <c r="X8" s="25">
        <v>22</v>
      </c>
      <c r="Y8" s="23">
        <v>23</v>
      </c>
      <c r="Z8" s="26">
        <v>24</v>
      </c>
    </row>
    <row r="9" ht="33" customHeight="1" spans="1:33">
      <c r="A9" s="27"/>
      <c r="B9" s="28" t="s">
        <v>15</v>
      </c>
      <c r="C9" s="29" t="s">
        <v>119</v>
      </c>
      <c r="D9" s="30" t="s">
        <v>120</v>
      </c>
      <c r="E9" s="30" t="s">
        <v>121</v>
      </c>
      <c r="F9" s="31" t="s">
        <v>122</v>
      </c>
      <c r="G9" s="29" t="s">
        <v>123</v>
      </c>
      <c r="H9" s="30" t="s">
        <v>124</v>
      </c>
      <c r="I9" s="30" t="s">
        <v>125</v>
      </c>
      <c r="J9" s="31" t="s">
        <v>126</v>
      </c>
      <c r="K9" s="29" t="s">
        <v>127</v>
      </c>
      <c r="L9" s="30" t="s">
        <v>128</v>
      </c>
      <c r="M9" s="30" t="s">
        <v>129</v>
      </c>
      <c r="N9" s="30" t="s">
        <v>130</v>
      </c>
      <c r="O9" s="31" t="s">
        <v>131</v>
      </c>
      <c r="P9" s="29" t="s">
        <v>132</v>
      </c>
      <c r="Q9" s="30" t="s">
        <v>133</v>
      </c>
      <c r="R9" s="30" t="s">
        <v>134</v>
      </c>
      <c r="S9" s="31" t="s">
        <v>135</v>
      </c>
      <c r="T9" s="29" t="s">
        <v>136</v>
      </c>
      <c r="U9" s="30" t="s">
        <v>124</v>
      </c>
      <c r="V9" s="30" t="s">
        <v>125</v>
      </c>
      <c r="W9" s="30" t="s">
        <v>126</v>
      </c>
      <c r="X9" s="31" t="s">
        <v>137</v>
      </c>
      <c r="Y9" s="29" t="s">
        <v>138</v>
      </c>
      <c r="Z9" s="32" t="s">
        <v>139</v>
      </c>
    </row>
    <row r="10" ht="39.9" customHeight="1" spans="1:33">
      <c r="A10" s="13">
        <v>2</v>
      </c>
      <c r="B10" s="33" t="s">
        <v>39</v>
      </c>
      <c r="C10" s="412"/>
      <c r="D10" s="413"/>
      <c r="E10" s="413"/>
      <c r="F10" s="414"/>
      <c r="G10" s="415"/>
      <c r="H10" s="416" t="s">
        <v>140</v>
      </c>
      <c r="I10" s="417"/>
      <c r="J10" s="418"/>
      <c r="K10" s="39" t="s">
        <v>41</v>
      </c>
      <c r="L10" s="419"/>
      <c r="M10" s="419"/>
      <c r="N10" s="417"/>
      <c r="O10" s="418"/>
      <c r="P10" s="420"/>
      <c r="Q10" s="421"/>
      <c r="R10" s="421"/>
      <c r="S10" s="422"/>
      <c r="T10" s="420"/>
      <c r="U10" s="423"/>
      <c r="V10" s="424"/>
      <c r="W10" s="49" t="s">
        <v>44</v>
      </c>
      <c r="X10" s="49"/>
      <c r="Y10" s="49"/>
      <c r="Z10" s="50"/>
      <c r="AC10" s="51"/>
      <c r="AD10" s="52"/>
    </row>
    <row r="11" ht="39.9" customHeight="1" spans="1:33">
      <c r="A11" s="53"/>
      <c r="B11" s="54" t="s">
        <v>45</v>
      </c>
      <c r="C11" s="425"/>
      <c r="D11" s="426"/>
      <c r="E11" s="426"/>
      <c r="F11" s="427"/>
      <c r="G11" s="428"/>
      <c r="H11" s="429"/>
      <c r="I11" s="426"/>
      <c r="J11" s="427"/>
      <c r="K11" s="58"/>
      <c r="L11" s="430" t="s">
        <v>141</v>
      </c>
      <c r="M11" s="431"/>
      <c r="N11" s="432"/>
      <c r="O11" s="433"/>
      <c r="P11" s="434"/>
      <c r="Q11" s="435"/>
      <c r="R11" s="435"/>
      <c r="S11" s="436"/>
      <c r="T11" s="437"/>
      <c r="U11" s="438"/>
      <c r="V11" s="439"/>
      <c r="W11" s="49"/>
      <c r="X11" s="49"/>
      <c r="Y11" s="49"/>
      <c r="Z11" s="50"/>
      <c r="AC11" s="69"/>
      <c r="AD11" s="69"/>
    </row>
    <row r="12" ht="39.9" customHeight="1" spans="1:33">
      <c r="A12" s="70">
        <v>3</v>
      </c>
      <c r="B12" s="33" t="s">
        <v>39</v>
      </c>
      <c r="C12" s="440"/>
      <c r="D12" s="441"/>
      <c r="E12" s="441"/>
      <c r="F12" s="442"/>
      <c r="G12" s="443"/>
      <c r="H12" s="441"/>
      <c r="I12" s="444"/>
      <c r="J12" s="445"/>
      <c r="K12" s="77" t="s">
        <v>142</v>
      </c>
      <c r="L12" s="446"/>
      <c r="M12" s="447"/>
      <c r="N12" s="447"/>
      <c r="O12" s="448"/>
      <c r="P12" s="449"/>
      <c r="Q12" s="450"/>
      <c r="R12" s="451"/>
      <c r="S12" s="452"/>
      <c r="T12" s="453"/>
      <c r="U12" s="454"/>
      <c r="V12" s="454"/>
      <c r="W12" s="49"/>
      <c r="X12" s="49"/>
      <c r="Y12" s="49"/>
      <c r="Z12" s="50"/>
      <c r="AC12" s="84"/>
      <c r="AD12" s="84"/>
      <c r="AE12" s="84"/>
      <c r="AF12" s="84"/>
    </row>
    <row r="13" ht="39.9" customHeight="1" spans="1:33">
      <c r="A13" s="53"/>
      <c r="B13" s="54" t="s">
        <v>45</v>
      </c>
      <c r="C13" s="455"/>
      <c r="D13" s="456"/>
      <c r="E13" s="456"/>
      <c r="F13" s="457"/>
      <c r="G13" s="458"/>
      <c r="H13" s="459"/>
      <c r="I13" s="460"/>
      <c r="J13" s="460"/>
      <c r="K13" s="461" t="s">
        <v>143</v>
      </c>
      <c r="L13" s="462"/>
      <c r="M13" s="462"/>
      <c r="N13" s="462"/>
      <c r="O13" s="463"/>
      <c r="P13" s="464"/>
      <c r="Q13" s="465"/>
      <c r="R13" s="465"/>
      <c r="S13" s="466"/>
      <c r="T13" s="467"/>
      <c r="U13" s="468"/>
      <c r="V13" s="468"/>
      <c r="W13" s="49"/>
      <c r="X13" s="49"/>
      <c r="Y13" s="49"/>
      <c r="Z13" s="50"/>
      <c r="AC13" s="102">
        <f>42/4</f>
        <v>10.5</v>
      </c>
      <c r="AD13" s="102"/>
      <c r="AE13" s="102"/>
      <c r="AF13" s="102"/>
      <c r="AG13" s="103">
        <v>9</v>
      </c>
    </row>
    <row r="14" ht="39.9" customHeight="1" spans="1:33">
      <c r="A14" s="70">
        <v>4</v>
      </c>
      <c r="B14" s="33" t="s">
        <v>39</v>
      </c>
      <c r="C14" s="469"/>
      <c r="D14" s="470"/>
      <c r="E14" s="470"/>
      <c r="F14" s="471"/>
      <c r="G14" s="472"/>
      <c r="H14" s="473"/>
      <c r="I14" s="417"/>
      <c r="J14" s="418"/>
      <c r="K14" s="474"/>
      <c r="L14" s="419"/>
      <c r="M14" s="417"/>
      <c r="N14" s="475"/>
      <c r="O14" s="476" t="s">
        <v>49</v>
      </c>
      <c r="P14" s="420"/>
      <c r="Q14" s="421"/>
      <c r="R14" s="421"/>
      <c r="S14" s="477"/>
      <c r="T14" s="478"/>
      <c r="U14" s="424"/>
      <c r="V14" s="424"/>
      <c r="W14" s="49"/>
      <c r="X14" s="49"/>
      <c r="Y14" s="49"/>
      <c r="Z14" s="50"/>
      <c r="AC14" s="102">
        <f>30/4</f>
        <v>7.5</v>
      </c>
      <c r="AD14" s="102"/>
      <c r="AE14" s="102"/>
      <c r="AF14" s="102"/>
      <c r="AG14" s="114">
        <v>5</v>
      </c>
    </row>
    <row r="15" ht="39.9" customHeight="1" spans="1:33">
      <c r="A15" s="53"/>
      <c r="B15" s="54" t="s">
        <v>45</v>
      </c>
      <c r="C15" s="425"/>
      <c r="D15" s="426"/>
      <c r="E15" s="426"/>
      <c r="F15" s="427"/>
      <c r="G15" s="479"/>
      <c r="H15" s="480"/>
      <c r="I15" s="426"/>
      <c r="J15" s="481" t="s">
        <v>144</v>
      </c>
      <c r="K15" s="482"/>
      <c r="L15" s="462"/>
      <c r="M15" s="483"/>
      <c r="N15" s="484"/>
      <c r="O15" s="485"/>
      <c r="P15" s="486"/>
      <c r="Q15" s="487"/>
      <c r="R15" s="487"/>
      <c r="S15" s="488"/>
      <c r="T15" s="489"/>
      <c r="U15" s="490"/>
      <c r="V15" s="468"/>
      <c r="W15" s="49"/>
      <c r="X15" s="49"/>
      <c r="Y15" s="49"/>
      <c r="Z15" s="50"/>
    </row>
    <row r="16" ht="39.9" customHeight="1" spans="1:33">
      <c r="A16" s="70">
        <v>5</v>
      </c>
      <c r="B16" s="33" t="s">
        <v>39</v>
      </c>
      <c r="C16" s="491"/>
      <c r="D16" s="441"/>
      <c r="E16" s="441"/>
      <c r="F16" s="442"/>
      <c r="G16" s="492" t="s">
        <v>53</v>
      </c>
      <c r="H16" s="493"/>
      <c r="I16" s="493"/>
      <c r="J16" s="77" t="s">
        <v>145</v>
      </c>
      <c r="K16" s="133" t="s">
        <v>54</v>
      </c>
      <c r="L16" s="494" t="s">
        <v>53</v>
      </c>
      <c r="M16" s="495"/>
      <c r="N16" s="495"/>
      <c r="O16" s="496"/>
      <c r="P16" s="492" t="s">
        <v>53</v>
      </c>
      <c r="Q16" s="495"/>
      <c r="R16" s="497" t="s">
        <v>146</v>
      </c>
      <c r="S16" s="497" t="s">
        <v>147</v>
      </c>
      <c r="T16" s="498" t="s">
        <v>53</v>
      </c>
      <c r="U16" s="499"/>
      <c r="V16" s="500"/>
      <c r="W16" s="49"/>
      <c r="X16" s="49"/>
      <c r="Y16" s="49"/>
      <c r="Z16" s="50"/>
    </row>
    <row r="17" ht="36.75" customHeight="1" spans="1:31">
      <c r="A17" s="53"/>
      <c r="B17" s="54" t="s">
        <v>45</v>
      </c>
      <c r="C17" s="455"/>
      <c r="D17" s="456"/>
      <c r="E17" s="456"/>
      <c r="F17" s="457"/>
      <c r="G17" s="501"/>
      <c r="H17" s="502"/>
      <c r="I17" s="503" t="s">
        <v>148</v>
      </c>
      <c r="J17" s="503" t="s">
        <v>149</v>
      </c>
      <c r="K17" s="145"/>
      <c r="L17" s="504"/>
      <c r="M17" s="505"/>
      <c r="N17" s="506"/>
      <c r="O17" s="507"/>
      <c r="P17" s="508"/>
      <c r="Q17" s="505"/>
      <c r="R17" s="505"/>
      <c r="S17" s="509"/>
      <c r="T17" s="391"/>
      <c r="U17" s="510"/>
      <c r="V17" s="511"/>
      <c r="W17" s="49"/>
      <c r="X17" s="49"/>
      <c r="Y17" s="49"/>
      <c r="Z17" s="50"/>
      <c r="AE17" s="156"/>
    </row>
    <row r="18" ht="42" customHeight="1" spans="1:31">
      <c r="A18" s="70">
        <v>6</v>
      </c>
      <c r="B18" s="33" t="s">
        <v>39</v>
      </c>
      <c r="C18" s="469"/>
      <c r="D18" s="470"/>
      <c r="E18" s="512"/>
      <c r="F18" s="513" t="s">
        <v>150</v>
      </c>
      <c r="G18" s="514"/>
      <c r="H18" s="515"/>
      <c r="I18" s="516"/>
      <c r="J18" s="517"/>
      <c r="K18" s="160" t="s">
        <v>61</v>
      </c>
      <c r="L18" s="419"/>
      <c r="M18" s="518"/>
      <c r="N18" s="519"/>
      <c r="O18" s="520"/>
      <c r="P18" s="521"/>
      <c r="Q18" s="522"/>
      <c r="R18" s="522"/>
      <c r="S18" s="523"/>
      <c r="T18" s="396"/>
      <c r="U18" s="524"/>
      <c r="V18" s="454"/>
      <c r="W18" s="49"/>
      <c r="X18" s="49"/>
      <c r="Y18" s="49"/>
      <c r="Z18" s="50"/>
    </row>
    <row r="19" ht="38.25" customHeight="1" spans="1:31">
      <c r="A19" s="27"/>
      <c r="B19" s="168" t="s">
        <v>45</v>
      </c>
      <c r="C19" s="525"/>
      <c r="D19" s="526"/>
      <c r="E19" s="527"/>
      <c r="F19" s="528"/>
      <c r="G19" s="529"/>
      <c r="H19" s="530"/>
      <c r="I19" s="527"/>
      <c r="J19" s="528"/>
      <c r="K19" s="174"/>
      <c r="L19" s="531" t="s">
        <v>151</v>
      </c>
      <c r="M19" s="531" t="s">
        <v>152</v>
      </c>
      <c r="N19" s="532"/>
      <c r="O19" s="533"/>
      <c r="P19" s="534" t="s">
        <v>153</v>
      </c>
      <c r="Q19" s="535" t="s">
        <v>154</v>
      </c>
      <c r="R19" s="536"/>
      <c r="S19" s="537"/>
      <c r="T19" s="538"/>
      <c r="U19" s="539" t="s">
        <v>155</v>
      </c>
      <c r="V19" s="540" t="s">
        <v>64</v>
      </c>
      <c r="W19" s="186"/>
      <c r="X19" s="186"/>
      <c r="Y19" s="186"/>
      <c r="Z19" s="187"/>
    </row>
    <row r="20" ht="23.25" hidden="1" customHeight="1" spans="1:31">
      <c r="A20" s="188"/>
      <c r="B20" s="189"/>
      <c r="C20" s="190"/>
      <c r="D20" s="190"/>
      <c r="E20" s="190"/>
      <c r="F20" s="190"/>
      <c r="G20" s="190"/>
      <c r="H20" s="190"/>
      <c r="I20" s="191"/>
      <c r="J20" s="192"/>
      <c r="K20" s="190"/>
      <c r="L20" s="190"/>
      <c r="M20" s="190"/>
      <c r="N20" s="190"/>
      <c r="O20" s="190"/>
      <c r="P20" s="190"/>
      <c r="Q20" s="192"/>
      <c r="R20" s="190"/>
      <c r="S20" s="190"/>
      <c r="T20" s="190"/>
      <c r="U20" s="190"/>
      <c r="V20" s="190"/>
      <c r="W20" s="192"/>
      <c r="X20" s="190"/>
      <c r="Y20" s="190"/>
      <c r="Z20" s="193"/>
    </row>
    <row r="21" ht="18.75" spans="1:31">
      <c r="A21" s="194"/>
      <c r="B21" s="195"/>
      <c r="C21" s="195"/>
      <c r="D21" s="196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7"/>
    </row>
    <row r="22" s="1" customFormat="1" ht="29.25" customHeight="1" spans="1:31">
      <c r="A22" s="198" t="s">
        <v>65</v>
      </c>
      <c r="B22" s="199"/>
      <c r="C22" s="200" t="s">
        <v>66</v>
      </c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202"/>
      <c r="AB22" s="203"/>
      <c r="AC22" s="204"/>
      <c r="AD22" s="156"/>
      <c r="AE22" s="156"/>
    </row>
    <row r="23" s="1" customFormat="1" ht="13.5" customHeight="1" spans="1:31">
      <c r="A23" s="205"/>
      <c r="B23" s="206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8"/>
      <c r="T23" s="209"/>
      <c r="U23" s="207"/>
      <c r="V23" s="207"/>
      <c r="W23" s="208"/>
      <c r="X23" s="207"/>
      <c r="Y23" s="209"/>
      <c r="Z23" s="210"/>
      <c r="AA23" s="207"/>
      <c r="AB23" s="203"/>
      <c r="AC23" s="204"/>
      <c r="AD23" s="156"/>
      <c r="AE23" s="156"/>
    </row>
    <row r="24" customFormat="1" ht="25.5" customHeight="1" spans="1:31">
      <c r="A24" s="211" t="s">
        <v>67</v>
      </c>
      <c r="B24" s="212" t="s">
        <v>68</v>
      </c>
      <c r="C24" s="213"/>
      <c r="D24" s="214"/>
      <c r="E24" s="215" t="s">
        <v>69</v>
      </c>
      <c r="F24" s="216" t="s">
        <v>70</v>
      </c>
      <c r="G24" s="217" t="s">
        <v>71</v>
      </c>
      <c r="H24" s="217"/>
      <c r="I24" s="217"/>
      <c r="J24" s="217"/>
      <c r="K24" s="218" t="s">
        <v>72</v>
      </c>
      <c r="L24" s="219"/>
      <c r="M24" s="220" t="s">
        <v>73</v>
      </c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2"/>
      <c r="Z24" s="223"/>
      <c r="AA24" s="196"/>
      <c r="AB24" s="2"/>
      <c r="AC24" s="2"/>
      <c r="AD24" s="156"/>
      <c r="AE24" s="2"/>
    </row>
    <row r="25" customFormat="1" ht="25.5" customHeight="1" spans="1:31">
      <c r="A25" s="224"/>
      <c r="B25" s="225"/>
      <c r="C25" s="226"/>
      <c r="D25" s="227"/>
      <c r="E25" s="228"/>
      <c r="F25" s="229"/>
      <c r="G25" s="230" t="s">
        <v>55</v>
      </c>
      <c r="H25" s="230" t="s">
        <v>43</v>
      </c>
      <c r="I25" s="230" t="s">
        <v>74</v>
      </c>
      <c r="J25" s="229" t="s">
        <v>75</v>
      </c>
      <c r="K25" s="218"/>
      <c r="L25" s="231"/>
      <c r="M25" s="232"/>
      <c r="N25" s="233" t="s">
        <v>76</v>
      </c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4"/>
      <c r="AA25" s="196"/>
      <c r="AB25" s="2"/>
      <c r="AC25" s="2"/>
      <c r="AD25" s="2"/>
      <c r="AE25" s="2"/>
    </row>
    <row r="26" customFormat="1" ht="23.1" customHeight="1" spans="1:31">
      <c r="A26" s="235" t="s">
        <v>156</v>
      </c>
      <c r="B26" s="236" t="s">
        <v>157</v>
      </c>
      <c r="C26" s="237"/>
      <c r="D26" s="238"/>
      <c r="E26" s="239" t="s">
        <v>79</v>
      </c>
      <c r="F26" s="239">
        <v>4</v>
      </c>
      <c r="G26" s="239">
        <v>42</v>
      </c>
      <c r="H26" s="239">
        <v>72</v>
      </c>
      <c r="I26" s="239">
        <v>6</v>
      </c>
      <c r="J26" s="240">
        <f t="shared" ref="J26:J35" si="0">SUM(G26:I26)</f>
        <v>120</v>
      </c>
      <c r="K26" s="241"/>
      <c r="L26" s="242"/>
      <c r="M26" s="243"/>
      <c r="N26" s="244"/>
      <c r="O26" s="245"/>
      <c r="P26" s="246"/>
      <c r="Q26" s="232"/>
      <c r="R26" s="246"/>
      <c r="S26" s="246"/>
      <c r="T26" s="195"/>
      <c r="U26" s="195"/>
      <c r="V26" s="195"/>
      <c r="W26" s="195"/>
      <c r="X26" s="195"/>
      <c r="Y26" s="195"/>
      <c r="Z26" s="197"/>
      <c r="AA26" s="247"/>
      <c r="AB26" s="2"/>
      <c r="AC26" s="2"/>
      <c r="AD26" s="2"/>
      <c r="AE26" s="2"/>
    </row>
    <row r="27" customFormat="1" ht="23.1" customHeight="1" spans="1:31">
      <c r="A27" s="541" t="s">
        <v>158</v>
      </c>
      <c r="B27" s="542" t="s">
        <v>159</v>
      </c>
      <c r="C27" s="543"/>
      <c r="D27" s="544"/>
      <c r="E27" s="545" t="s">
        <v>160</v>
      </c>
      <c r="F27" s="545">
        <v>3</v>
      </c>
      <c r="G27" s="545">
        <v>42</v>
      </c>
      <c r="H27" s="545">
        <v>45</v>
      </c>
      <c r="I27" s="545">
        <v>3</v>
      </c>
      <c r="J27" s="546">
        <f t="shared" si="0"/>
        <v>90</v>
      </c>
      <c r="K27" s="547"/>
      <c r="L27" s="242"/>
      <c r="M27" s="243"/>
      <c r="N27" s="244"/>
      <c r="O27" s="245"/>
      <c r="P27" s="246"/>
      <c r="Q27" s="232"/>
      <c r="R27" s="246"/>
      <c r="S27" s="246"/>
      <c r="T27" s="195"/>
      <c r="U27" s="195"/>
      <c r="V27" s="195"/>
      <c r="W27" s="195"/>
      <c r="X27" s="249" t="s">
        <v>83</v>
      </c>
      <c r="Y27" s="195"/>
      <c r="Z27" s="197"/>
      <c r="AA27" s="247"/>
      <c r="AB27" s="2"/>
      <c r="AC27" s="2"/>
      <c r="AD27" s="2"/>
      <c r="AE27" s="2"/>
    </row>
    <row r="28" customFormat="1" ht="23.1" customHeight="1" spans="1:31">
      <c r="A28" s="548" t="s">
        <v>161</v>
      </c>
      <c r="B28" s="549" t="s">
        <v>162</v>
      </c>
      <c r="C28" s="550"/>
      <c r="D28" s="551"/>
      <c r="E28" s="552" t="s">
        <v>79</v>
      </c>
      <c r="F28" s="552">
        <v>1</v>
      </c>
      <c r="G28" s="552">
        <v>10</v>
      </c>
      <c r="H28" s="552">
        <v>16</v>
      </c>
      <c r="I28" s="552">
        <v>1</v>
      </c>
      <c r="J28" s="553">
        <f t="shared" si="0"/>
        <v>27</v>
      </c>
      <c r="K28" s="554"/>
      <c r="L28" s="257" t="s">
        <v>87</v>
      </c>
      <c r="M28" s="258"/>
      <c r="N28" s="258"/>
      <c r="O28" s="258"/>
      <c r="P28" s="258"/>
      <c r="Q28" s="259"/>
      <c r="R28" s="246"/>
      <c r="S28" s="258" t="s">
        <v>88</v>
      </c>
      <c r="T28" s="196"/>
      <c r="U28" s="195"/>
      <c r="V28" s="195"/>
      <c r="W28" s="195"/>
      <c r="X28" s="232" t="s">
        <v>89</v>
      </c>
      <c r="Y28" s="195"/>
      <c r="Z28" s="197"/>
      <c r="AA28" s="247"/>
      <c r="AB28" s="2"/>
      <c r="AC28" s="2"/>
      <c r="AD28" s="2"/>
      <c r="AE28" s="2"/>
    </row>
    <row r="29" customFormat="1" ht="23.1" customHeight="1" spans="1:31">
      <c r="A29" s="555" t="s">
        <v>90</v>
      </c>
      <c r="B29" s="556" t="s">
        <v>91</v>
      </c>
      <c r="C29" s="557"/>
      <c r="D29" s="558"/>
      <c r="E29" s="559" t="s">
        <v>92</v>
      </c>
      <c r="F29" s="559">
        <v>2</v>
      </c>
      <c r="G29" s="559">
        <v>2</v>
      </c>
      <c r="H29" s="560">
        <v>54</v>
      </c>
      <c r="I29" s="560">
        <v>4</v>
      </c>
      <c r="J29" s="561">
        <f t="shared" si="0"/>
        <v>60</v>
      </c>
      <c r="K29" s="562"/>
      <c r="L29" s="242"/>
      <c r="M29" s="195"/>
      <c r="N29" s="258"/>
      <c r="O29" s="196"/>
      <c r="P29" s="246"/>
      <c r="Q29" s="232"/>
      <c r="R29" s="246"/>
      <c r="S29" s="258" t="s">
        <v>93</v>
      </c>
      <c r="T29" s="196"/>
      <c r="U29" s="195"/>
      <c r="V29" s="195"/>
      <c r="W29" s="195"/>
      <c r="X29" s="232" t="s">
        <v>94</v>
      </c>
      <c r="Y29" s="195"/>
      <c r="Z29" s="197"/>
      <c r="AA29" s="247"/>
      <c r="AB29" s="2"/>
      <c r="AC29" s="2"/>
      <c r="AD29" s="2"/>
      <c r="AE29" s="2"/>
    </row>
    <row r="30" customFormat="1" ht="23.1" customHeight="1" spans="1:31">
      <c r="A30" s="563" t="s">
        <v>95</v>
      </c>
      <c r="B30" s="564" t="s">
        <v>96</v>
      </c>
      <c r="C30" s="565"/>
      <c r="D30" s="566"/>
      <c r="E30" s="567" t="s">
        <v>92</v>
      </c>
      <c r="F30" s="567">
        <v>3</v>
      </c>
      <c r="G30" s="567">
        <v>34</v>
      </c>
      <c r="H30" s="567">
        <v>37</v>
      </c>
      <c r="I30" s="567">
        <v>4</v>
      </c>
      <c r="J30" s="568">
        <f t="shared" si="0"/>
        <v>75</v>
      </c>
      <c r="K30" s="569"/>
      <c r="L30" s="242"/>
      <c r="M30" s="195"/>
      <c r="N30" s="268"/>
      <c r="O30" s="196"/>
      <c r="P30" s="246"/>
      <c r="Q30" s="232"/>
      <c r="R30" s="246"/>
      <c r="S30" s="232"/>
      <c r="T30" s="196"/>
      <c r="U30" s="195"/>
      <c r="V30" s="195"/>
      <c r="W30" s="195"/>
      <c r="X30" s="196"/>
      <c r="Y30" s="195"/>
      <c r="Z30" s="197"/>
      <c r="AA30" s="247"/>
      <c r="AB30" s="2"/>
      <c r="AC30" s="2"/>
      <c r="AD30" s="2"/>
      <c r="AE30" s="2"/>
    </row>
    <row r="31" customFormat="1" ht="23.1" customHeight="1" spans="1:31">
      <c r="A31" s="278" t="s">
        <v>97</v>
      </c>
      <c r="B31" s="279" t="s">
        <v>98</v>
      </c>
      <c r="C31" s="280"/>
      <c r="D31" s="281"/>
      <c r="E31" s="282" t="s">
        <v>82</v>
      </c>
      <c r="F31" s="282">
        <v>2</v>
      </c>
      <c r="G31" s="282">
        <v>30</v>
      </c>
      <c r="H31" s="282">
        <v>15</v>
      </c>
      <c r="I31" s="282">
        <v>3</v>
      </c>
      <c r="J31" s="570">
        <f t="shared" si="0"/>
        <v>48</v>
      </c>
      <c r="K31" s="284"/>
      <c r="L31" s="242"/>
      <c r="M31" s="195"/>
      <c r="N31" s="195"/>
      <c r="O31" s="195"/>
      <c r="P31" s="195"/>
      <c r="Q31" s="195"/>
      <c r="R31" s="195"/>
      <c r="S31" s="277"/>
      <c r="T31" s="196"/>
      <c r="U31" s="195"/>
      <c r="V31" s="195"/>
      <c r="W31" s="195"/>
      <c r="X31" s="268"/>
      <c r="Y31" s="195"/>
      <c r="Z31" s="197"/>
      <c r="AA31" s="249"/>
      <c r="AB31" s="2"/>
      <c r="AC31" s="2"/>
      <c r="AD31" s="2"/>
      <c r="AE31" s="2"/>
    </row>
    <row r="32" customFormat="1" ht="23.1" customHeight="1" spans="1:31">
      <c r="A32" s="285" t="s">
        <v>163</v>
      </c>
      <c r="B32" s="286" t="s">
        <v>164</v>
      </c>
      <c r="C32" s="287"/>
      <c r="D32" s="288"/>
      <c r="E32" s="289" t="s">
        <v>160</v>
      </c>
      <c r="F32" s="289">
        <v>2</v>
      </c>
      <c r="G32" s="289">
        <v>28</v>
      </c>
      <c r="H32" s="289">
        <v>30</v>
      </c>
      <c r="I32" s="289">
        <v>2</v>
      </c>
      <c r="J32" s="290">
        <f t="shared" si="0"/>
        <v>60</v>
      </c>
      <c r="K32" s="291"/>
      <c r="L32" s="242"/>
      <c r="M32" s="195"/>
      <c r="N32" s="195"/>
      <c r="O32" s="196"/>
      <c r="P32" s="195"/>
      <c r="Q32" s="268"/>
      <c r="R32" s="258"/>
      <c r="S32" s="195"/>
      <c r="T32" s="196"/>
      <c r="U32" s="258"/>
      <c r="V32" s="258"/>
      <c r="W32" s="268"/>
      <c r="X32" s="196"/>
      <c r="Y32" s="249"/>
      <c r="Z32" s="197"/>
      <c r="AA32" s="232"/>
      <c r="AB32" s="2"/>
      <c r="AC32" s="2"/>
      <c r="AD32" s="2"/>
      <c r="AE32" s="2"/>
    </row>
    <row r="33" customFormat="1" ht="23.1" customHeight="1" spans="1:31">
      <c r="A33" s="260" t="s">
        <v>165</v>
      </c>
      <c r="B33" s="261" t="s">
        <v>166</v>
      </c>
      <c r="C33" s="262"/>
      <c r="D33" s="263"/>
      <c r="E33" s="264" t="s">
        <v>86</v>
      </c>
      <c r="F33" s="264">
        <v>5</v>
      </c>
      <c r="G33" s="264">
        <v>41</v>
      </c>
      <c r="H33" s="264">
        <v>29</v>
      </c>
      <c r="I33" s="264">
        <v>5</v>
      </c>
      <c r="J33" s="266">
        <f t="shared" si="0"/>
        <v>75</v>
      </c>
      <c r="K33" s="293"/>
      <c r="L33" s="242"/>
      <c r="M33" s="268"/>
      <c r="N33" s="195"/>
      <c r="O33" s="258"/>
      <c r="P33" s="258"/>
      <c r="Q33" s="268"/>
      <c r="R33" s="232"/>
      <c r="S33" s="195"/>
      <c r="T33" s="196"/>
      <c r="U33" s="232"/>
      <c r="V33" s="232"/>
      <c r="W33" s="268"/>
      <c r="X33" s="196"/>
      <c r="Y33" s="232"/>
      <c r="Z33" s="197"/>
      <c r="AA33" s="232"/>
      <c r="AB33" s="2"/>
      <c r="AC33" s="2"/>
      <c r="AD33" s="2"/>
      <c r="AE33" s="2"/>
    </row>
    <row r="34" customFormat="1" ht="23.1" customHeight="1" spans="1:31">
      <c r="A34" s="269" t="s">
        <v>84</v>
      </c>
      <c r="B34" s="270" t="s">
        <v>85</v>
      </c>
      <c r="C34" s="271"/>
      <c r="D34" s="272"/>
      <c r="E34" s="273" t="s">
        <v>86</v>
      </c>
      <c r="F34" s="274">
        <v>2</v>
      </c>
      <c r="G34" s="274">
        <v>18</v>
      </c>
      <c r="H34" s="273">
        <v>10</v>
      </c>
      <c r="I34" s="274">
        <v>2</v>
      </c>
      <c r="J34" s="275">
        <f t="shared" si="0"/>
        <v>30</v>
      </c>
      <c r="K34" s="276"/>
      <c r="L34" s="242"/>
      <c r="M34" s="195"/>
      <c r="N34" s="195"/>
      <c r="O34" s="196"/>
      <c r="P34" s="195"/>
      <c r="Q34" s="195"/>
      <c r="R34" s="195"/>
      <c r="S34" s="196"/>
      <c r="T34" s="196"/>
      <c r="U34" s="277"/>
      <c r="V34" s="277"/>
      <c r="W34" s="268"/>
      <c r="X34" s="196"/>
      <c r="Y34" s="232"/>
      <c r="Z34" s="197"/>
      <c r="AA34" s="196"/>
      <c r="AB34" s="2"/>
      <c r="AC34" s="2"/>
      <c r="AD34" s="2"/>
      <c r="AE34" s="2"/>
    </row>
    <row r="35" customFormat="1" ht="23.1" customHeight="1" spans="1:31">
      <c r="A35" s="571" t="s">
        <v>167</v>
      </c>
      <c r="B35" s="572" t="s">
        <v>168</v>
      </c>
      <c r="C35" s="572"/>
      <c r="D35" s="572"/>
      <c r="E35" s="573" t="s">
        <v>160</v>
      </c>
      <c r="F35" s="574">
        <v>3</v>
      </c>
      <c r="G35" s="574">
        <v>42</v>
      </c>
      <c r="H35" s="573">
        <v>30</v>
      </c>
      <c r="I35" s="574">
        <v>3</v>
      </c>
      <c r="J35" s="575">
        <f t="shared" si="0"/>
        <v>75</v>
      </c>
      <c r="K35" s="576"/>
      <c r="L35" s="257" t="s">
        <v>105</v>
      </c>
      <c r="M35" s="258"/>
      <c r="N35" s="258"/>
      <c r="O35" s="258"/>
      <c r="P35" s="258"/>
      <c r="Q35" s="259"/>
      <c r="R35" s="195"/>
      <c r="S35" s="258" t="s">
        <v>106</v>
      </c>
      <c r="T35" s="196"/>
      <c r="U35" s="195"/>
      <c r="V35" s="195"/>
      <c r="W35" s="195"/>
      <c r="X35" s="258" t="s">
        <v>107</v>
      </c>
      <c r="Y35" s="195"/>
      <c r="Z35" s="197"/>
      <c r="AA35" s="196"/>
      <c r="AB35" s="2"/>
      <c r="AC35" s="2"/>
      <c r="AD35" s="2"/>
      <c r="AE35" s="2"/>
    </row>
    <row r="36" customFormat="1" ht="23.1" customHeight="1" spans="1:31">
      <c r="A36" s="295" t="s">
        <v>80</v>
      </c>
      <c r="B36" s="577" t="s">
        <v>81</v>
      </c>
      <c r="C36" s="577"/>
      <c r="D36" s="577"/>
      <c r="E36" s="299" t="s">
        <v>82</v>
      </c>
      <c r="F36" s="300">
        <v>2</v>
      </c>
      <c r="G36" s="300">
        <v>30</v>
      </c>
      <c r="H36" s="299">
        <v>0</v>
      </c>
      <c r="I36" s="300">
        <v>3</v>
      </c>
      <c r="J36" s="578">
        <v>33</v>
      </c>
      <c r="K36" s="303"/>
      <c r="L36" s="242"/>
      <c r="M36" s="195"/>
      <c r="N36" s="258"/>
      <c r="O36" s="196"/>
      <c r="P36" s="195"/>
      <c r="Q36" s="195"/>
      <c r="R36" s="195"/>
      <c r="S36" s="196"/>
      <c r="T36" s="258"/>
      <c r="U36" s="195"/>
      <c r="V36" s="195"/>
      <c r="W36" s="195"/>
      <c r="X36" s="195"/>
      <c r="Y36" s="195"/>
      <c r="Z36" s="304"/>
      <c r="AA36" s="196"/>
      <c r="AB36" s="2"/>
      <c r="AC36" s="2"/>
      <c r="AD36" s="2"/>
      <c r="AE36" s="2"/>
    </row>
    <row r="37" customFormat="1" ht="23.1" customHeight="1" spans="1:31">
      <c r="A37" s="305" t="s">
        <v>112</v>
      </c>
      <c r="B37" s="306"/>
      <c r="C37" s="306"/>
      <c r="D37" s="306"/>
      <c r="E37" s="307"/>
      <c r="F37" s="308">
        <f>SUM(F26:F34)</f>
        <v>24</v>
      </c>
      <c r="G37" s="308">
        <f>SUM(G26:G34)</f>
        <v>247</v>
      </c>
      <c r="H37" s="308">
        <f>SUM(H26:H34)</f>
        <v>308</v>
      </c>
      <c r="I37" s="308">
        <f>SUM(I26:I34)</f>
        <v>30</v>
      </c>
      <c r="J37" s="308">
        <f>SUM(J26:J34)</f>
        <v>585</v>
      </c>
      <c r="K37" s="309"/>
      <c r="L37" s="192"/>
      <c r="M37" s="190"/>
      <c r="N37" s="310"/>
      <c r="O37" s="189"/>
      <c r="P37" s="190"/>
      <c r="Q37" s="190"/>
      <c r="R37" s="190"/>
      <c r="S37" s="190"/>
      <c r="T37" s="310"/>
      <c r="U37" s="190"/>
      <c r="V37" s="190"/>
      <c r="W37" s="190"/>
      <c r="X37" s="190"/>
      <c r="Y37" s="190"/>
      <c r="Z37" s="311"/>
      <c r="AA37" s="196"/>
      <c r="AB37" s="2"/>
      <c r="AC37" s="2"/>
      <c r="AD37" s="2"/>
      <c r="AE37" s="2"/>
    </row>
    <row r="38" customFormat="1" ht="22.5" spans="1:31">
      <c r="A38" s="196"/>
      <c r="B38" s="196"/>
      <c r="C38" s="196"/>
      <c r="D38" s="196"/>
      <c r="E38" s="196"/>
      <c r="F38" s="196"/>
      <c r="G38" s="196"/>
      <c r="H38" s="196"/>
      <c r="I38" s="195"/>
      <c r="J38" s="246"/>
      <c r="K38" s="196"/>
      <c r="L38" s="195"/>
      <c r="M38" s="195"/>
      <c r="O38" s="196"/>
      <c r="P38" s="195"/>
      <c r="Q38" s="195"/>
      <c r="R38" s="195"/>
      <c r="S38" s="195"/>
      <c r="U38" s="196"/>
      <c r="V38" s="196"/>
      <c r="W38" s="196"/>
      <c r="X38" s="196"/>
      <c r="Y38" s="196"/>
      <c r="AA38" s="196"/>
      <c r="AB38" s="2"/>
      <c r="AC38" s="2"/>
      <c r="AD38" s="2"/>
      <c r="AE38" s="2"/>
    </row>
    <row r="39" ht="18.75" spans="1:31">
      <c r="A39" s="312"/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</row>
    <row r="40" ht="18.75" spans="1:31">
      <c r="A40" s="312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</row>
    <row r="41" ht="18.75" spans="1:31">
      <c r="A41" s="312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</row>
    <row r="42" ht="18.75" spans="1:31">
      <c r="A42" s="312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</row>
    <row r="43" ht="18.75" spans="1:31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</row>
    <row r="44" ht="18.75" spans="1:31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</row>
    <row r="45" ht="18.75" spans="1:31">
      <c r="A45" s="312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3"/>
      <c r="R45" s="312"/>
      <c r="S45" s="312"/>
      <c r="T45" s="312"/>
      <c r="U45" s="312"/>
      <c r="V45" s="312"/>
      <c r="W45" s="312"/>
      <c r="X45" s="312"/>
      <c r="Y45" s="312"/>
    </row>
    <row r="46" ht="18.75" spans="1:31">
      <c r="A46" s="312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</row>
    <row r="47" ht="18.75" spans="1:31">
      <c r="A47" s="312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</row>
    <row r="48" ht="18.75" spans="1:31">
      <c r="A48" s="312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</row>
    <row r="49" ht="18.75" spans="1:25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</row>
    <row r="50" ht="18.75" spans="1: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</row>
    <row r="51" ht="18.75" spans="1: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</row>
    <row r="52" ht="18.75" spans="1:25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</row>
    <row r="53" ht="18.75" spans="1:25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</row>
    <row r="54" ht="18.75" spans="1:25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</row>
    <row r="55" ht="18.75" spans="1: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</row>
    <row r="56" ht="18.75" spans="1:25">
      <c r="A56" s="312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</row>
    <row r="57" ht="18.75" spans="1:25">
      <c r="A57" s="312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</row>
    <row r="58" ht="18.75" spans="1:25">
      <c r="A58" s="312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</row>
    <row r="59" ht="18.75" spans="1:25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</row>
    <row r="60" ht="18.75" spans="1:25">
      <c r="A60" s="312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</row>
    <row r="61" ht="18.75" spans="1:25">
      <c r="A61" s="312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</row>
    <row r="62" ht="18.75" spans="1:25">
      <c r="A62" s="312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</row>
    <row r="63" ht="18.75" spans="1:25">
      <c r="A63" s="312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</row>
    <row r="64" ht="18.75" spans="1:25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</row>
    <row r="65" ht="18.75" spans="1:25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</row>
    <row r="66" ht="18.75" spans="1:25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</row>
    <row r="67" ht="18.75" spans="1:25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</row>
    <row r="68" ht="18.75" spans="1:25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</row>
    <row r="69" ht="18.75" spans="1:25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</row>
    <row r="70" ht="18.75" spans="1:25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</row>
    <row r="71" ht="18.75" spans="1:25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</row>
    <row r="72" ht="18.75" spans="1:25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</row>
    <row r="73" ht="18.75" spans="1:25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</row>
    <row r="74" ht="18.75" spans="1:25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</row>
    <row r="75" ht="18.75" spans="1:25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</row>
    <row r="76" ht="18.75" spans="1:25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</row>
    <row r="77" ht="18.75" spans="1:25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</row>
    <row r="78" ht="18.75" spans="1:25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</row>
    <row r="79" ht="18.75" spans="1:25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</row>
    <row r="80" ht="18.75" spans="1:25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</row>
    <row r="81" ht="18.75" spans="1:25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</row>
    <row r="82" ht="18.75" spans="1:25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</row>
    <row r="83" ht="18.75" spans="1:25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</row>
    <row r="84" ht="18.75" spans="1:25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</row>
    <row r="85" ht="18.75" spans="1:25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</row>
    <row r="86" ht="18.75" spans="1:25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</row>
    <row r="87" ht="18.75" spans="1:25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</row>
    <row r="88" ht="18.75" spans="1:25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</row>
    <row r="89" ht="18.75" spans="1:25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</row>
    <row r="90" ht="18.75" spans="1:25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</row>
    <row r="91" ht="18.75" spans="1:25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</row>
    <row r="92" ht="18.75" spans="1:25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</row>
    <row r="93" ht="18.75" spans="1:25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</row>
    <row r="94" ht="18.75" spans="1:25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</row>
    <row r="95" ht="18.75" spans="1:25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</row>
    <row r="96" ht="18.75" spans="1:25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</row>
    <row r="97" ht="18.75" spans="1:25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</row>
    <row r="98" ht="18.75" spans="1:25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</row>
    <row r="99" ht="18.75" spans="1:25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</row>
    <row r="100" ht="18.75" spans="1:25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</row>
    <row r="101" ht="18.75" spans="1:25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</row>
    <row r="102" ht="18.75" spans="1:25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</row>
    <row r="103" ht="18.75" spans="1:25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</row>
    <row r="104" ht="18.75" spans="1:25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</row>
    <row r="105" ht="18.75" spans="1:25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</row>
    <row r="106" ht="18.75" spans="1:25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</row>
    <row r="107" ht="18.75" spans="1:25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</row>
    <row r="108" ht="18.75" spans="1:25">
      <c r="A108" s="312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</row>
    <row r="109" ht="18.75" spans="1:25">
      <c r="A109" s="312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</row>
    <row r="110" ht="18.75" spans="1:25">
      <c r="A110" s="312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</row>
    <row r="111" ht="18.75" spans="1:25">
      <c r="A111" s="312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</row>
    <row r="112" ht="18.75" spans="1:25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</row>
    <row r="113" ht="18.75" spans="1:25">
      <c r="A113" s="312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</row>
    <row r="114" ht="18.75" spans="1:25">
      <c r="A114" s="312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</row>
    <row r="115" ht="18.75" spans="1:25">
      <c r="A115" s="312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</row>
    <row r="116" ht="18.75" spans="1:25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</row>
    <row r="117" ht="18.75" spans="1:25">
      <c r="A117" s="312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</row>
    <row r="118" ht="18.75" spans="1:25">
      <c r="A118" s="312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</row>
    <row r="119" ht="18.75" spans="1:25">
      <c r="A119" s="312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</row>
    <row r="120" ht="18.75" spans="1:25">
      <c r="A120" s="312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</row>
    <row r="121" ht="18.75" spans="1:25">
      <c r="A121" s="312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</row>
    <row r="122" ht="18.75" spans="1:25">
      <c r="A122" s="312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</row>
    <row r="123" ht="18.75" spans="1:25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</row>
    <row r="124" ht="18.75" spans="1:25">
      <c r="A124" s="312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</row>
    <row r="125" ht="18.75" spans="1:25">
      <c r="A125" s="312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</row>
    <row r="126" ht="18.75" spans="1:25">
      <c r="A126" s="312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</row>
    <row r="127" ht="18.75" spans="1:25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</row>
    <row r="128" ht="18.75" spans="1:25">
      <c r="A128" s="312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</row>
    <row r="129" ht="18.75" spans="1:25">
      <c r="A129" s="312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</row>
    <row r="130" ht="18.75" spans="1:25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</row>
    <row r="131" ht="18.75" spans="1:25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</row>
    <row r="132" ht="18.75" spans="1:25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</row>
    <row r="133" ht="18.75" spans="1:25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</row>
    <row r="134" ht="18.75" spans="1:25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</row>
    <row r="135" ht="18.75" spans="1:25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</row>
    <row r="136" ht="18.75" spans="1:25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</row>
    <row r="137" ht="18.75" spans="1:25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</row>
    <row r="138" ht="18.75" spans="1:25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</row>
    <row r="139" ht="18.75" spans="1:25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</row>
    <row r="140" ht="18.75" spans="1:25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</row>
    <row r="141" ht="18.75" spans="1:25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</row>
    <row r="142" ht="18.75" spans="1:25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</row>
    <row r="143" ht="18.75" spans="1:25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</row>
    <row r="144" ht="18.75" spans="1:25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</row>
    <row r="145" ht="18.75" spans="1:25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</row>
    <row r="146" ht="18.75" spans="1:25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</row>
    <row r="147" ht="18.75" spans="1:25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</row>
    <row r="148" ht="18.75" spans="1:25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</row>
    <row r="149" ht="18.75" spans="1:25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</row>
    <row r="150" ht="18.75" spans="1:25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</row>
    <row r="151" ht="18.75" spans="1:25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</row>
    <row r="152" ht="18.75" spans="1:25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</row>
    <row r="153" ht="18.75" spans="1:25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</row>
    <row r="154" ht="18.75" spans="1:25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</row>
    <row r="155" ht="18.75" spans="1:25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</row>
    <row r="156" ht="18.75" spans="1:25">
      <c r="A156" s="312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</row>
    <row r="157" ht="18.75" spans="1:25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</row>
    <row r="158" ht="18.75" spans="1:25">
      <c r="A158" s="312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</row>
    <row r="159" ht="18.75" spans="1:25">
      <c r="A159" s="312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</row>
    <row r="160" ht="18.75" spans="1:25">
      <c r="A160" s="312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</row>
    <row r="161" ht="18.75" spans="1:25">
      <c r="A161" s="312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</row>
    <row r="162" ht="18.75" spans="1:25">
      <c r="A162" s="312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</row>
    <row r="163" ht="18.75" spans="1:25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</row>
    <row r="164" ht="18.75" spans="1:25">
      <c r="A164" s="312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</row>
    <row r="165" ht="18.75" spans="1:25">
      <c r="A165" s="312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</row>
    <row r="166" ht="18.75" spans="1:25">
      <c r="A166" s="312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</row>
    <row r="167" ht="18.75" spans="1:25">
      <c r="A167" s="312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</row>
    <row r="168" ht="18.75" spans="1:25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</row>
    <row r="169" ht="18.75" spans="1:25">
      <c r="A169" s="312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</row>
    <row r="170" ht="18.75" spans="1:25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</row>
    <row r="171" ht="18.75" spans="1:25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</row>
    <row r="172" ht="18.75" spans="1:25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</row>
    <row r="173" ht="18.75" spans="1:25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</row>
    <row r="174" ht="18.75" spans="1:25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</row>
    <row r="175" ht="18.75" spans="1:25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</row>
    <row r="176" ht="18.75" spans="1:25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</row>
    <row r="177" ht="18.75" spans="1:25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</row>
    <row r="178" ht="18.75" spans="1:25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</row>
    <row r="179" ht="18.75" spans="1:25">
      <c r="A179" s="312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</row>
    <row r="180" ht="18.75" spans="1:25">
      <c r="A180" s="312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</row>
    <row r="181" ht="18.75" spans="1:25">
      <c r="A181" s="312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</row>
    <row r="182" ht="18.75" spans="1:25">
      <c r="A182" s="312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</row>
    <row r="183" ht="18.75" spans="1:25">
      <c r="A183" s="312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</row>
    <row r="184" ht="18.75" spans="1:25">
      <c r="A184" s="312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</row>
    <row r="185" ht="18.75" spans="1:25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</row>
    <row r="186" ht="18.75" spans="1:25">
      <c r="A186" s="312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</row>
    <row r="187" ht="18.75" spans="1:25">
      <c r="A187" s="312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</row>
    <row r="188" ht="18.75" spans="1:25">
      <c r="A188" s="312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</row>
    <row r="189" ht="18.75" spans="1:25">
      <c r="A189" s="312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</row>
    <row r="190" ht="18.75" spans="1:25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</row>
    <row r="191" ht="18.75" spans="1:25">
      <c r="A191" s="312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</row>
    <row r="192" ht="18.75" spans="1:25">
      <c r="A192" s="312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</row>
    <row r="193" ht="18.75" spans="1:25">
      <c r="A193" s="312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</row>
    <row r="194" ht="18.75" spans="1:25">
      <c r="A194" s="312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</row>
    <row r="195" ht="18.75" spans="1:25">
      <c r="A195" s="312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</row>
    <row r="196" ht="18.75" spans="1:25">
      <c r="A196" s="312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</row>
    <row r="197" ht="18.75" spans="1:25">
      <c r="A197" s="312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</row>
    <row r="198" ht="18.75" spans="1:25">
      <c r="A198" s="312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</row>
    <row r="199" ht="18.75" spans="1:25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</row>
    <row r="200" ht="18.75" spans="1:25">
      <c r="A200" s="312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</row>
    <row r="201" ht="18.75" spans="1:25">
      <c r="A201" s="312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</row>
    <row r="202" ht="18.75" spans="1:25">
      <c r="A202" s="312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</row>
    <row r="203" ht="18.75" spans="1:25">
      <c r="A203" s="312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</row>
    <row r="204" ht="18.75" spans="1:25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</row>
    <row r="205" ht="18.75" spans="1:25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</row>
    <row r="206" ht="18.75" spans="1:25">
      <c r="A206" s="312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</row>
    <row r="207" ht="18.75" spans="1:25">
      <c r="A207" s="312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</row>
    <row r="208" ht="18.75" spans="1:25">
      <c r="A208" s="312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</row>
  </sheetData>
  <mergeCells count="45">
    <mergeCell ref="I1:T1"/>
    <mergeCell ref="I2:T2"/>
    <mergeCell ref="C7:F7"/>
    <mergeCell ref="G7:J7"/>
    <mergeCell ref="K7:O7"/>
    <mergeCell ref="P7:S7"/>
    <mergeCell ref="T7:X7"/>
    <mergeCell ref="Y7:Z7"/>
    <mergeCell ref="AC11:AD11"/>
    <mergeCell ref="AC12:AF12"/>
    <mergeCell ref="AC13:AF13"/>
    <mergeCell ref="AC14:AF14"/>
    <mergeCell ref="A22:B22"/>
    <mergeCell ref="C22:Z22"/>
    <mergeCell ref="G24:J24"/>
    <mergeCell ref="B26:D26"/>
    <mergeCell ref="B27:D27"/>
    <mergeCell ref="B28:D28"/>
    <mergeCell ref="L28:P28"/>
    <mergeCell ref="B29:D29"/>
    <mergeCell ref="B30:D30"/>
    <mergeCell ref="B31:D31"/>
    <mergeCell ref="B32:D32"/>
    <mergeCell ref="B33:D33"/>
    <mergeCell ref="B34:D34"/>
    <mergeCell ref="B35:D35"/>
    <mergeCell ref="L35:P35"/>
    <mergeCell ref="B36:D36"/>
    <mergeCell ref="A37:E37"/>
    <mergeCell ref="A7:A9"/>
    <mergeCell ref="A10:A11"/>
    <mergeCell ref="A12:A13"/>
    <mergeCell ref="A14:A15"/>
    <mergeCell ref="A16:A17"/>
    <mergeCell ref="A18:A19"/>
    <mergeCell ref="A24:A25"/>
    <mergeCell ref="E24:E25"/>
    <mergeCell ref="F24:F25"/>
    <mergeCell ref="K10:K11"/>
    <mergeCell ref="K16:K17"/>
    <mergeCell ref="K18:K19"/>
    <mergeCell ref="K24:K25"/>
    <mergeCell ref="A1:H2"/>
    <mergeCell ref="W10:Z19"/>
    <mergeCell ref="B24:D25"/>
  </mergeCells>
  <pageMargins left="0.47" right="0.7" top="0.27" bottom="0.25" header="0.3" footer="0.2"/>
  <pageSetup paperSize="8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9"/>
  <sheetViews>
    <sheetView tabSelected="1" zoomScale="175" zoomScaleNormal="175" topLeftCell="A5" workbookViewId="0">
      <selection activeCell="AA9" sqref="AA9"/>
    </sheetView>
  </sheetViews>
  <sheetFormatPr defaultColWidth="9.1047619047619" defaultRowHeight="15"/>
  <cols>
    <col min="1" max="1" width="14.1047619047619" style="2" customWidth="1"/>
    <col min="2" max="2" width="11.6666666666667" style="2" customWidth="1"/>
    <col min="3" max="26" width="10.6666666666667" style="2" customWidth="1"/>
    <col min="27" max="16384" width="9.1047619047619" style="2"/>
  </cols>
  <sheetData>
    <row r="1" ht="57" customHeight="1" spans="1:33">
      <c r="A1" s="3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6" t="s">
        <v>2</v>
      </c>
      <c r="X1" s="6" t="s">
        <v>169</v>
      </c>
    </row>
    <row r="2" ht="25.5" customHeight="1" spans="1:33">
      <c r="A2" s="3"/>
      <c r="B2" s="3"/>
      <c r="C2" s="3"/>
      <c r="D2" s="3"/>
      <c r="E2" s="3"/>
      <c r="F2" s="3"/>
      <c r="G2" s="3"/>
      <c r="H2" s="3"/>
      <c r="I2" s="7" t="s">
        <v>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9" t="s">
        <v>170</v>
      </c>
    </row>
    <row r="3" ht="20.25" spans="1:33">
      <c r="W3" s="10" t="s">
        <v>171</v>
      </c>
      <c r="Y3" s="10" t="s">
        <v>7</v>
      </c>
    </row>
    <row r="4" ht="20.25" spans="1:33">
      <c r="W4" s="10" t="s">
        <v>172</v>
      </c>
    </row>
    <row r="5" ht="25.5" customHeight="1" spans="1:33">
      <c r="H5" s="11"/>
      <c r="J5" s="12" t="s">
        <v>9</v>
      </c>
      <c r="W5" s="10" t="s">
        <v>173</v>
      </c>
    </row>
    <row r="7" ht="24.75" customHeight="1" spans="1:33">
      <c r="A7" s="13" t="s">
        <v>11</v>
      </c>
      <c r="B7" s="13" t="s">
        <v>12</v>
      </c>
      <c r="C7" s="15">
        <v>3</v>
      </c>
      <c r="D7" s="16"/>
      <c r="E7" s="16"/>
      <c r="F7" s="17"/>
      <c r="G7" s="15">
        <v>4</v>
      </c>
      <c r="H7" s="16"/>
      <c r="I7" s="16"/>
      <c r="J7" s="17"/>
      <c r="K7" s="15">
        <v>5</v>
      </c>
      <c r="L7" s="16"/>
      <c r="M7" s="16"/>
      <c r="N7" s="16"/>
      <c r="O7" s="17"/>
      <c r="P7" s="15">
        <v>6</v>
      </c>
      <c r="Q7" s="16"/>
      <c r="R7" s="16"/>
      <c r="S7" s="17"/>
      <c r="T7" s="18" t="s">
        <v>13</v>
      </c>
      <c r="U7" s="19"/>
      <c r="V7" s="19"/>
      <c r="W7" s="19"/>
      <c r="X7" s="20"/>
      <c r="Y7" s="15">
        <v>8</v>
      </c>
      <c r="Z7" s="17"/>
    </row>
    <row r="8" ht="19.5" customHeight="1" spans="1:33">
      <c r="A8" s="314"/>
      <c r="B8" s="315" t="s">
        <v>174</v>
      </c>
      <c r="C8" s="316">
        <v>1</v>
      </c>
      <c r="D8" s="317">
        <v>2</v>
      </c>
      <c r="E8" s="24">
        <v>3</v>
      </c>
      <c r="F8" s="25">
        <v>4</v>
      </c>
      <c r="G8" s="23">
        <v>5</v>
      </c>
      <c r="H8" s="24">
        <v>6</v>
      </c>
      <c r="I8" s="24">
        <v>7</v>
      </c>
      <c r="J8" s="25">
        <v>8</v>
      </c>
      <c r="K8" s="23">
        <v>9</v>
      </c>
      <c r="L8" s="24">
        <v>10</v>
      </c>
      <c r="M8" s="24">
        <v>11</v>
      </c>
      <c r="N8" s="24">
        <v>12</v>
      </c>
      <c r="O8" s="25">
        <v>13</v>
      </c>
      <c r="P8" s="23">
        <v>14</v>
      </c>
      <c r="Q8" s="24">
        <v>15</v>
      </c>
      <c r="R8" s="24">
        <v>16</v>
      </c>
      <c r="S8" s="25">
        <v>17</v>
      </c>
      <c r="T8" s="23">
        <v>18</v>
      </c>
      <c r="U8" s="24">
        <v>19</v>
      </c>
      <c r="V8" s="24">
        <v>20</v>
      </c>
      <c r="W8" s="24">
        <v>21</v>
      </c>
      <c r="X8" s="25">
        <v>22</v>
      </c>
      <c r="Y8" s="23">
        <v>23</v>
      </c>
      <c r="Z8" s="26">
        <v>24</v>
      </c>
    </row>
    <row r="9" ht="19.5" customHeight="1" spans="1:33">
      <c r="A9" s="21"/>
      <c r="B9" s="318" t="s">
        <v>175</v>
      </c>
      <c r="C9" s="319" t="s">
        <v>176</v>
      </c>
      <c r="D9" s="319" t="s">
        <v>177</v>
      </c>
      <c r="E9" s="319" t="s">
        <v>176</v>
      </c>
      <c r="F9" s="319" t="s">
        <v>177</v>
      </c>
      <c r="G9" s="319" t="s">
        <v>176</v>
      </c>
      <c r="H9" s="319" t="s">
        <v>177</v>
      </c>
      <c r="I9" s="319" t="s">
        <v>176</v>
      </c>
      <c r="J9" s="319" t="s">
        <v>177</v>
      </c>
      <c r="K9" s="319" t="s">
        <v>176</v>
      </c>
      <c r="L9" s="319" t="s">
        <v>177</v>
      </c>
      <c r="M9" s="319" t="s">
        <v>176</v>
      </c>
      <c r="N9" s="319" t="s">
        <v>177</v>
      </c>
      <c r="O9" s="319" t="s">
        <v>176</v>
      </c>
      <c r="P9" s="319" t="s">
        <v>177</v>
      </c>
      <c r="Q9" s="319" t="s">
        <v>176</v>
      </c>
      <c r="R9" s="319" t="s">
        <v>177</v>
      </c>
      <c r="S9" s="319" t="s">
        <v>176</v>
      </c>
      <c r="T9" s="319" t="s">
        <v>177</v>
      </c>
      <c r="U9" s="319" t="s">
        <v>176</v>
      </c>
      <c r="V9" s="319" t="s">
        <v>177</v>
      </c>
      <c r="W9" s="319" t="s">
        <v>176</v>
      </c>
      <c r="X9" s="319" t="s">
        <v>177</v>
      </c>
      <c r="Y9" s="319" t="s">
        <v>176</v>
      </c>
      <c r="Z9" s="319" t="s">
        <v>177</v>
      </c>
    </row>
    <row r="10" ht="33" customHeight="1" spans="1:33">
      <c r="A10" s="27"/>
      <c r="B10" s="320" t="s">
        <v>15</v>
      </c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</row>
    <row r="11" ht="39.9" customHeight="1" spans="1:33">
      <c r="A11" s="13">
        <v>2</v>
      </c>
      <c r="B11" s="33" t="s">
        <v>39</v>
      </c>
      <c r="C11" s="74"/>
      <c r="D11" s="41"/>
      <c r="E11" s="41"/>
      <c r="F11" s="42"/>
      <c r="G11" s="322"/>
      <c r="H11" s="75"/>
      <c r="I11" s="75"/>
      <c r="J11" s="76"/>
      <c r="K11" s="39" t="s">
        <v>41</v>
      </c>
      <c r="L11" s="323"/>
      <c r="M11" s="323"/>
      <c r="N11" s="324"/>
      <c r="O11" s="38"/>
      <c r="P11" s="325"/>
      <c r="Q11" s="326"/>
      <c r="R11" s="326"/>
      <c r="S11" s="327"/>
      <c r="T11" s="325"/>
      <c r="U11" s="100" t="s">
        <v>178</v>
      </c>
      <c r="V11" s="328"/>
      <c r="W11" s="49" t="s">
        <v>44</v>
      </c>
      <c r="X11" s="49"/>
      <c r="Y11" s="49"/>
      <c r="Z11" s="50"/>
      <c r="AC11" s="51"/>
      <c r="AD11" s="52"/>
    </row>
    <row r="12" ht="39.9" customHeight="1" spans="1:33">
      <c r="A12" s="53"/>
      <c r="B12" s="54" t="s">
        <v>45</v>
      </c>
      <c r="C12" s="329"/>
      <c r="D12" s="330"/>
      <c r="E12" s="330"/>
      <c r="F12" s="331"/>
      <c r="G12" s="329"/>
      <c r="H12" s="332"/>
      <c r="I12" s="59"/>
      <c r="J12" s="116"/>
      <c r="K12" s="58"/>
      <c r="L12" s="333"/>
      <c r="M12" s="334"/>
      <c r="N12" s="335"/>
      <c r="O12" s="336"/>
      <c r="P12" s="337"/>
      <c r="Q12" s="335"/>
      <c r="R12" s="64"/>
      <c r="S12" s="65"/>
      <c r="T12" s="338"/>
      <c r="U12" s="339"/>
      <c r="V12" s="68" t="s">
        <v>179</v>
      </c>
      <c r="W12" s="49"/>
      <c r="X12" s="49"/>
      <c r="Y12" s="49"/>
      <c r="Z12" s="50"/>
      <c r="AC12" s="69"/>
      <c r="AD12" s="69"/>
    </row>
    <row r="13" ht="39.9" customHeight="1" spans="1:33">
      <c r="A13" s="70">
        <v>3</v>
      </c>
      <c r="B13" s="33" t="s">
        <v>39</v>
      </c>
      <c r="C13" s="340"/>
      <c r="D13" s="341"/>
      <c r="E13" s="341"/>
      <c r="F13" s="342"/>
      <c r="G13" s="343"/>
      <c r="H13" s="341"/>
      <c r="I13" s="344"/>
      <c r="J13" s="91"/>
      <c r="K13" s="77" t="s">
        <v>142</v>
      </c>
      <c r="L13" s="345"/>
      <c r="M13" s="346"/>
      <c r="N13" s="346"/>
      <c r="O13" s="347"/>
      <c r="P13" s="348"/>
      <c r="Q13" s="349"/>
      <c r="R13" s="349"/>
      <c r="S13" s="350"/>
      <c r="T13" s="351"/>
      <c r="U13" s="100" t="s">
        <v>180</v>
      </c>
      <c r="V13" s="352"/>
      <c r="W13" s="49"/>
      <c r="X13" s="49"/>
      <c r="Y13" s="49"/>
      <c r="Z13" s="50"/>
      <c r="AC13" s="84"/>
      <c r="AD13" s="84"/>
      <c r="AE13" s="84"/>
      <c r="AF13" s="84"/>
    </row>
    <row r="14" ht="39.9" customHeight="1" spans="1:33">
      <c r="A14" s="53"/>
      <c r="B14" s="54" t="s">
        <v>45</v>
      </c>
      <c r="C14" s="55"/>
      <c r="D14" s="56"/>
      <c r="E14" s="56"/>
      <c r="F14" s="57"/>
      <c r="G14" s="353"/>
      <c r="H14" s="354"/>
      <c r="I14" s="355"/>
      <c r="J14" s="355"/>
      <c r="K14" s="92" t="s">
        <v>181</v>
      </c>
      <c r="L14" s="356"/>
      <c r="M14" s="356"/>
      <c r="N14" s="356"/>
      <c r="O14" s="357"/>
      <c r="P14" s="358"/>
      <c r="Q14" s="356"/>
      <c r="R14" s="356"/>
      <c r="S14" s="359"/>
      <c r="T14" s="360"/>
      <c r="U14" s="94"/>
      <c r="V14" s="94"/>
      <c r="W14" s="49"/>
      <c r="X14" s="49"/>
      <c r="Y14" s="49"/>
      <c r="Z14" s="50"/>
      <c r="AC14" s="102">
        <f>27/4</f>
        <v>6.75</v>
      </c>
      <c r="AD14" s="102"/>
      <c r="AE14" s="102"/>
      <c r="AF14" s="102"/>
      <c r="AG14" s="103">
        <f>6</f>
        <v>6</v>
      </c>
    </row>
    <row r="15" ht="39.9" customHeight="1" spans="1:33">
      <c r="A15" s="70">
        <v>4</v>
      </c>
      <c r="B15" s="33" t="s">
        <v>39</v>
      </c>
      <c r="C15" s="71"/>
      <c r="D15" s="72"/>
      <c r="E15" s="72"/>
      <c r="F15" s="73"/>
      <c r="G15" s="322"/>
      <c r="H15" s="75"/>
      <c r="I15" s="75"/>
      <c r="J15" s="76"/>
      <c r="K15" s="361"/>
      <c r="L15" s="323"/>
      <c r="M15" s="324"/>
      <c r="N15" s="362"/>
      <c r="O15" s="363"/>
      <c r="P15" s="325"/>
      <c r="Q15" s="326"/>
      <c r="R15" s="110" t="s">
        <v>182</v>
      </c>
      <c r="S15" s="364"/>
      <c r="T15" s="365" t="s">
        <v>183</v>
      </c>
      <c r="U15" s="328"/>
      <c r="V15" s="328"/>
      <c r="W15" s="49"/>
      <c r="X15" s="49"/>
      <c r="Y15" s="49"/>
      <c r="Z15" s="50"/>
      <c r="AC15" s="102">
        <f>15/4</f>
        <v>3.75</v>
      </c>
      <c r="AD15" s="102"/>
      <c r="AE15" s="102"/>
      <c r="AF15" s="102"/>
      <c r="AG15" s="366">
        <f>AC15*2</f>
        <v>7.5</v>
      </c>
    </row>
    <row r="16" ht="39.9" customHeight="1" spans="1:33">
      <c r="A16" s="53"/>
      <c r="B16" s="54" t="s">
        <v>45</v>
      </c>
      <c r="C16" s="329"/>
      <c r="D16" s="330"/>
      <c r="E16" s="330"/>
      <c r="F16" s="331"/>
      <c r="G16" s="367"/>
      <c r="H16" s="94"/>
      <c r="I16" s="59"/>
      <c r="J16" s="368"/>
      <c r="K16" s="369"/>
      <c r="L16" s="370"/>
      <c r="M16" s="371"/>
      <c r="N16" s="372"/>
      <c r="O16" s="373"/>
      <c r="P16" s="374"/>
      <c r="Q16" s="371"/>
      <c r="R16" s="126"/>
      <c r="S16" s="127" t="s">
        <v>184</v>
      </c>
      <c r="T16" s="375"/>
      <c r="U16" s="376"/>
      <c r="V16" s="94"/>
      <c r="W16" s="49"/>
      <c r="X16" s="49"/>
      <c r="Y16" s="49"/>
      <c r="Z16" s="50"/>
      <c r="AG16" s="103">
        <f>SUM(AG14:AG15)</f>
        <v>13.5</v>
      </c>
    </row>
    <row r="17" ht="39.9" customHeight="1" spans="1:31">
      <c r="A17" s="70">
        <v>5</v>
      </c>
      <c r="B17" s="33" t="s">
        <v>39</v>
      </c>
      <c r="C17" s="377"/>
      <c r="D17" s="341"/>
      <c r="E17" s="341"/>
      <c r="F17" s="342"/>
      <c r="G17" s="131" t="s">
        <v>53</v>
      </c>
      <c r="H17" s="341"/>
      <c r="I17" s="378"/>
      <c r="J17" s="77" t="s">
        <v>145</v>
      </c>
      <c r="K17" s="133" t="s">
        <v>54</v>
      </c>
      <c r="L17" s="134" t="s">
        <v>53</v>
      </c>
      <c r="M17" s="379"/>
      <c r="N17" s="379"/>
      <c r="O17" s="380"/>
      <c r="P17" s="137" t="s">
        <v>185</v>
      </c>
      <c r="Q17" s="381"/>
      <c r="R17" s="382"/>
      <c r="S17" s="383"/>
      <c r="T17" s="384"/>
      <c r="U17" s="385" t="s">
        <v>186</v>
      </c>
      <c r="V17" s="141" t="s">
        <v>187</v>
      </c>
      <c r="W17" s="49"/>
      <c r="X17" s="49"/>
      <c r="Y17" s="49"/>
      <c r="Z17" s="50"/>
    </row>
    <row r="18" ht="36.75" customHeight="1" spans="1:31">
      <c r="A18" s="53"/>
      <c r="B18" s="54" t="s">
        <v>45</v>
      </c>
      <c r="C18" s="55"/>
      <c r="D18" s="56"/>
      <c r="E18" s="56"/>
      <c r="F18" s="57"/>
      <c r="G18" s="386"/>
      <c r="H18" s="387"/>
      <c r="I18" s="354"/>
      <c r="J18" s="388"/>
      <c r="K18" s="145"/>
      <c r="L18" s="354"/>
      <c r="M18" s="56"/>
      <c r="N18" s="389"/>
      <c r="O18" s="359"/>
      <c r="P18" s="390"/>
      <c r="Q18" s="56"/>
      <c r="R18" s="56"/>
      <c r="S18" s="77"/>
      <c r="T18" s="391"/>
      <c r="U18" s="155"/>
      <c r="V18" s="155"/>
      <c r="W18" s="49"/>
      <c r="X18" s="49"/>
      <c r="Y18" s="49"/>
      <c r="Z18" s="50"/>
      <c r="AE18" s="156"/>
    </row>
    <row r="19" ht="42" customHeight="1" spans="1:31">
      <c r="A19" s="70">
        <v>6</v>
      </c>
      <c r="B19" s="33" t="s">
        <v>39</v>
      </c>
      <c r="C19" s="71"/>
      <c r="D19" s="72"/>
      <c r="E19" s="72"/>
      <c r="F19" s="73"/>
      <c r="G19" s="392"/>
      <c r="H19" s="157" t="s">
        <v>188</v>
      </c>
      <c r="I19" s="158" t="s">
        <v>189</v>
      </c>
      <c r="J19" s="42" t="s">
        <v>190</v>
      </c>
      <c r="K19" s="160" t="s">
        <v>61</v>
      </c>
      <c r="L19" s="323"/>
      <c r="M19" s="393"/>
      <c r="N19" s="394"/>
      <c r="O19" s="395"/>
      <c r="P19" s="396"/>
      <c r="Q19" s="163" t="s">
        <v>191</v>
      </c>
      <c r="R19" s="126"/>
      <c r="S19" s="126"/>
      <c r="T19" s="327"/>
      <c r="U19" s="352"/>
      <c r="V19" s="352"/>
      <c r="W19" s="49"/>
      <c r="X19" s="49"/>
      <c r="Y19" s="49"/>
      <c r="Z19" s="50"/>
    </row>
    <row r="20" ht="38.25" customHeight="1" spans="1:31">
      <c r="A20" s="27"/>
      <c r="B20" s="168" t="s">
        <v>45</v>
      </c>
      <c r="C20" s="397"/>
      <c r="D20" s="398"/>
      <c r="E20" s="399"/>
      <c r="F20" s="400"/>
      <c r="G20" s="397"/>
      <c r="H20" s="175"/>
      <c r="I20" s="401"/>
      <c r="J20" s="38"/>
      <c r="K20" s="174"/>
      <c r="L20" s="402"/>
      <c r="M20" s="403"/>
      <c r="N20" s="404"/>
      <c r="O20" s="405"/>
      <c r="P20" s="406"/>
      <c r="Q20" s="407"/>
      <c r="R20" s="408"/>
      <c r="S20" s="409"/>
      <c r="T20" s="401"/>
      <c r="U20" s="410"/>
      <c r="V20" s="185"/>
      <c r="W20" s="186"/>
      <c r="X20" s="186"/>
      <c r="Y20" s="186"/>
      <c r="Z20" s="187"/>
    </row>
    <row r="21" ht="23.25" hidden="1" customHeight="1" spans="1:31">
      <c r="A21" s="188"/>
      <c r="B21" s="189"/>
      <c r="C21" s="190"/>
      <c r="D21" s="190"/>
      <c r="E21" s="190"/>
      <c r="F21" s="190"/>
      <c r="G21" s="190"/>
      <c r="H21" s="190"/>
      <c r="I21" s="191"/>
      <c r="J21" s="192"/>
      <c r="K21" s="190"/>
      <c r="L21" s="190"/>
      <c r="M21" s="190"/>
      <c r="N21" s="190"/>
      <c r="O21" s="190"/>
      <c r="P21" s="190"/>
      <c r="Q21" s="192"/>
      <c r="R21" s="190"/>
      <c r="S21" s="190"/>
      <c r="T21" s="190"/>
      <c r="U21" s="190"/>
      <c r="V21" s="190"/>
      <c r="W21" s="192"/>
      <c r="X21" s="190"/>
      <c r="Y21" s="190"/>
      <c r="Z21" s="193"/>
    </row>
    <row r="22" ht="18.75" spans="1:31">
      <c r="A22" s="194"/>
      <c r="B22" s="195"/>
      <c r="C22" s="195"/>
      <c r="D22" s="196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7"/>
    </row>
    <row r="23" s="1" customFormat="1" ht="29.25" customHeight="1" spans="1:31">
      <c r="A23" s="198" t="s">
        <v>65</v>
      </c>
      <c r="B23" s="199"/>
      <c r="C23" s="200" t="s">
        <v>66</v>
      </c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1"/>
      <c r="AA23" s="202"/>
      <c r="AB23" s="203"/>
      <c r="AC23" s="204"/>
      <c r="AD23" s="156"/>
      <c r="AE23" s="156"/>
    </row>
    <row r="24" s="1" customFormat="1" ht="13.5" customHeight="1" spans="1:31">
      <c r="A24" s="205"/>
      <c r="B24" s="206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8"/>
      <c r="T24" s="209"/>
      <c r="U24" s="207"/>
      <c r="V24" s="207"/>
      <c r="W24" s="208"/>
      <c r="X24" s="207"/>
      <c r="Y24" s="209"/>
      <c r="Z24" s="210"/>
      <c r="AA24" s="207"/>
      <c r="AB24" s="203"/>
      <c r="AC24" s="204"/>
      <c r="AD24" s="156"/>
      <c r="AE24" s="156"/>
    </row>
    <row r="25" customFormat="1" ht="25.5" customHeight="1" spans="1:31">
      <c r="A25" s="211" t="s">
        <v>67</v>
      </c>
      <c r="B25" s="212" t="s">
        <v>68</v>
      </c>
      <c r="C25" s="213"/>
      <c r="D25" s="214"/>
      <c r="E25" s="215" t="s">
        <v>69</v>
      </c>
      <c r="F25" s="216" t="s">
        <v>70</v>
      </c>
      <c r="G25" s="217" t="s">
        <v>71</v>
      </c>
      <c r="H25" s="217"/>
      <c r="I25" s="217"/>
      <c r="J25" s="217"/>
      <c r="K25" s="218" t="s">
        <v>72</v>
      </c>
      <c r="L25" s="219"/>
      <c r="M25" s="220" t="s">
        <v>73</v>
      </c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2"/>
      <c r="Z25" s="223"/>
      <c r="AA25" s="196"/>
      <c r="AB25" s="2"/>
      <c r="AC25" s="2"/>
      <c r="AD25" s="156"/>
      <c r="AE25" s="2"/>
    </row>
    <row r="26" customFormat="1" ht="25.5" customHeight="1" spans="1:31">
      <c r="A26" s="224"/>
      <c r="B26" s="225"/>
      <c r="C26" s="226"/>
      <c r="D26" s="227"/>
      <c r="E26" s="228"/>
      <c r="F26" s="229"/>
      <c r="G26" s="230" t="s">
        <v>55</v>
      </c>
      <c r="H26" s="230" t="s">
        <v>43</v>
      </c>
      <c r="I26" s="230" t="s">
        <v>74</v>
      </c>
      <c r="J26" s="229" t="s">
        <v>75</v>
      </c>
      <c r="K26" s="218"/>
      <c r="L26" s="231"/>
      <c r="M26" s="232"/>
      <c r="N26" s="233" t="s">
        <v>76</v>
      </c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4"/>
      <c r="AA26" s="196"/>
      <c r="AB26" s="2"/>
      <c r="AC26" s="2"/>
      <c r="AD26" s="2"/>
      <c r="AE26" s="2"/>
    </row>
    <row r="27" customFormat="1" ht="23.1" customHeight="1" spans="1:31">
      <c r="A27" s="235" t="s">
        <v>156</v>
      </c>
      <c r="B27" s="236" t="s">
        <v>157</v>
      </c>
      <c r="C27" s="237"/>
      <c r="D27" s="238"/>
      <c r="E27" s="239" t="s">
        <v>79</v>
      </c>
      <c r="F27" s="239">
        <v>4</v>
      </c>
      <c r="G27" s="239">
        <v>42</v>
      </c>
      <c r="H27" s="239">
        <v>72</v>
      </c>
      <c r="I27" s="239">
        <v>6</v>
      </c>
      <c r="J27" s="240">
        <f t="shared" ref="J27:J37" si="0">SUM(G27:I27)</f>
        <v>120</v>
      </c>
      <c r="K27" s="241"/>
      <c r="L27" s="242"/>
      <c r="M27" s="243"/>
      <c r="N27" s="244"/>
      <c r="O27" s="245"/>
      <c r="P27" s="246"/>
      <c r="Q27" s="232"/>
      <c r="R27" s="246"/>
      <c r="S27" s="246"/>
      <c r="T27" s="195"/>
      <c r="U27" s="195"/>
      <c r="V27" s="195"/>
      <c r="W27" s="195"/>
      <c r="X27" s="195"/>
      <c r="Y27" s="195"/>
      <c r="Z27" s="197"/>
      <c r="AA27" s="247"/>
      <c r="AB27" s="2"/>
      <c r="AC27" s="2"/>
      <c r="AD27" s="2"/>
      <c r="AE27" s="2"/>
    </row>
    <row r="28" customFormat="1" ht="23.1" customHeight="1" spans="1:31">
      <c r="A28" s="235" t="s">
        <v>80</v>
      </c>
      <c r="B28" s="236" t="s">
        <v>192</v>
      </c>
      <c r="C28" s="237"/>
      <c r="D28" s="238"/>
      <c r="E28" s="239" t="s">
        <v>79</v>
      </c>
      <c r="F28" s="239">
        <v>2</v>
      </c>
      <c r="G28" s="239">
        <v>22</v>
      </c>
      <c r="H28" s="239">
        <v>32</v>
      </c>
      <c r="I28" s="239">
        <v>6</v>
      </c>
      <c r="J28" s="240">
        <f t="shared" si="0"/>
        <v>60</v>
      </c>
      <c r="K28" s="248"/>
      <c r="L28" s="242"/>
      <c r="M28" s="243"/>
      <c r="N28" s="244"/>
      <c r="O28" s="245"/>
      <c r="P28" s="246"/>
      <c r="Q28" s="232"/>
      <c r="R28" s="246"/>
      <c r="S28" s="246"/>
      <c r="T28" s="195"/>
      <c r="U28" s="195"/>
      <c r="V28" s="195"/>
      <c r="W28" s="195"/>
      <c r="X28" s="249" t="s">
        <v>83</v>
      </c>
      <c r="Y28" s="195"/>
      <c r="Z28" s="197"/>
      <c r="AA28" s="247"/>
      <c r="AB28" s="2"/>
      <c r="AC28" s="2"/>
      <c r="AD28" s="2"/>
      <c r="AE28" s="2"/>
    </row>
    <row r="29" customFormat="1" ht="23.1" customHeight="1" spans="1:31">
      <c r="A29" s="250" t="s">
        <v>193</v>
      </c>
      <c r="B29" s="251" t="s">
        <v>194</v>
      </c>
      <c r="C29" s="252"/>
      <c r="D29" s="253"/>
      <c r="E29" s="254" t="s">
        <v>195</v>
      </c>
      <c r="F29" s="254">
        <v>3</v>
      </c>
      <c r="G29" s="254">
        <v>22</v>
      </c>
      <c r="H29" s="254">
        <v>45</v>
      </c>
      <c r="I29" s="254">
        <v>5</v>
      </c>
      <c r="J29" s="255">
        <f t="shared" si="0"/>
        <v>72</v>
      </c>
      <c r="K29" s="256"/>
      <c r="L29" s="257" t="s">
        <v>87</v>
      </c>
      <c r="M29" s="258"/>
      <c r="N29" s="258"/>
      <c r="O29" s="258"/>
      <c r="P29" s="258"/>
      <c r="Q29" s="259"/>
      <c r="R29" s="246"/>
      <c r="S29" s="258" t="s">
        <v>88</v>
      </c>
      <c r="T29" s="196"/>
      <c r="U29" s="195"/>
      <c r="V29" s="195"/>
      <c r="W29" s="195"/>
      <c r="X29" s="232" t="s">
        <v>89</v>
      </c>
      <c r="Y29" s="195"/>
      <c r="Z29" s="197"/>
      <c r="AA29" s="247"/>
      <c r="AB29" s="2"/>
      <c r="AC29" s="2"/>
      <c r="AD29" s="2"/>
      <c r="AE29" s="2"/>
    </row>
    <row r="30" customFormat="1" ht="23.1" customHeight="1" spans="1:31">
      <c r="A30" s="250" t="s">
        <v>196</v>
      </c>
      <c r="B30" s="251" t="s">
        <v>197</v>
      </c>
      <c r="C30" s="252"/>
      <c r="D30" s="253"/>
      <c r="E30" s="254" t="s">
        <v>195</v>
      </c>
      <c r="F30" s="254">
        <v>3</v>
      </c>
      <c r="G30" s="254">
        <v>22</v>
      </c>
      <c r="H30" s="254">
        <v>45</v>
      </c>
      <c r="I30" s="254">
        <v>5</v>
      </c>
      <c r="J30" s="255">
        <f t="shared" si="0"/>
        <v>72</v>
      </c>
      <c r="K30" s="256"/>
      <c r="L30" s="242"/>
      <c r="M30" s="195"/>
      <c r="N30" s="258"/>
      <c r="O30" s="196"/>
      <c r="P30" s="246"/>
      <c r="Q30" s="232"/>
      <c r="R30" s="246"/>
      <c r="S30" s="258" t="s">
        <v>93</v>
      </c>
      <c r="T30" s="196"/>
      <c r="U30" s="195"/>
      <c r="V30" s="195"/>
      <c r="W30" s="195"/>
      <c r="X30" s="232" t="s">
        <v>94</v>
      </c>
      <c r="Y30" s="195"/>
      <c r="Z30" s="197"/>
      <c r="AA30" s="247"/>
      <c r="AB30" s="2"/>
      <c r="AC30" s="2"/>
      <c r="AD30" s="2"/>
      <c r="AE30" s="2"/>
    </row>
    <row r="31" customFormat="1" ht="23.1" customHeight="1" spans="1:31">
      <c r="A31" s="260" t="s">
        <v>165</v>
      </c>
      <c r="B31" s="261" t="s">
        <v>198</v>
      </c>
      <c r="C31" s="262"/>
      <c r="D31" s="263"/>
      <c r="E31" s="264" t="s">
        <v>86</v>
      </c>
      <c r="F31" s="264">
        <v>5</v>
      </c>
      <c r="G31" s="264">
        <v>41</v>
      </c>
      <c r="H31" s="265">
        <v>29</v>
      </c>
      <c r="I31" s="265">
        <v>5</v>
      </c>
      <c r="J31" s="266">
        <f t="shared" si="0"/>
        <v>75</v>
      </c>
      <c r="K31" s="267"/>
      <c r="L31" s="242"/>
      <c r="M31" s="195"/>
      <c r="N31" s="268"/>
      <c r="O31" s="196"/>
      <c r="P31" s="246"/>
      <c r="Q31" s="232"/>
      <c r="R31" s="246"/>
      <c r="S31" s="232"/>
      <c r="T31" s="196"/>
      <c r="U31" s="195"/>
      <c r="V31" s="195"/>
      <c r="W31" s="195"/>
      <c r="X31" s="196"/>
      <c r="Y31" s="195"/>
      <c r="Z31" s="197"/>
      <c r="AA31" s="247"/>
      <c r="AB31" s="2"/>
      <c r="AC31" s="2"/>
      <c r="AD31" s="2"/>
      <c r="AE31" s="2"/>
    </row>
    <row r="32" customFormat="1" ht="23.1" customHeight="1" spans="1:31">
      <c r="A32" s="269" t="s">
        <v>84</v>
      </c>
      <c r="B32" s="270" t="s">
        <v>85</v>
      </c>
      <c r="C32" s="271"/>
      <c r="D32" s="272"/>
      <c r="E32" s="273" t="s">
        <v>86</v>
      </c>
      <c r="F32" s="274">
        <v>2</v>
      </c>
      <c r="G32" s="274">
        <v>18</v>
      </c>
      <c r="H32" s="273">
        <v>10</v>
      </c>
      <c r="I32" s="274">
        <v>2</v>
      </c>
      <c r="J32" s="275">
        <f t="shared" si="0"/>
        <v>30</v>
      </c>
      <c r="K32" s="276"/>
      <c r="L32" s="242"/>
      <c r="M32" s="195"/>
      <c r="N32" s="195"/>
      <c r="O32" s="195"/>
      <c r="P32" s="195"/>
      <c r="Q32" s="195"/>
      <c r="R32" s="195"/>
      <c r="S32" s="277"/>
      <c r="T32" s="196"/>
      <c r="U32" s="195"/>
      <c r="V32" s="195"/>
      <c r="W32" s="195"/>
      <c r="X32" s="268"/>
      <c r="Y32" s="195"/>
      <c r="Z32" s="197"/>
      <c r="AA32" s="247"/>
      <c r="AB32" s="2"/>
      <c r="AC32" s="2"/>
      <c r="AD32" s="2"/>
      <c r="AE32" s="2"/>
    </row>
    <row r="33" customFormat="1" ht="23.1" customHeight="1" spans="1:31">
      <c r="A33" s="278" t="s">
        <v>97</v>
      </c>
      <c r="B33" s="279" t="s">
        <v>98</v>
      </c>
      <c r="C33" s="280"/>
      <c r="D33" s="281"/>
      <c r="E33" s="282" t="s">
        <v>82</v>
      </c>
      <c r="F33" s="282">
        <v>2</v>
      </c>
      <c r="G33" s="282">
        <v>30</v>
      </c>
      <c r="H33" s="282">
        <v>15</v>
      </c>
      <c r="I33" s="282">
        <v>3</v>
      </c>
      <c r="J33" s="283">
        <f t="shared" si="0"/>
        <v>48</v>
      </c>
      <c r="K33" s="284"/>
      <c r="L33" s="242"/>
      <c r="M33" s="195"/>
      <c r="N33" s="195"/>
      <c r="O33" s="196"/>
      <c r="P33" s="195"/>
      <c r="Q33" s="268"/>
      <c r="R33" s="258"/>
      <c r="S33" s="195"/>
      <c r="T33" s="196"/>
      <c r="U33" s="258"/>
      <c r="V33" s="258"/>
      <c r="W33" s="268"/>
      <c r="X33" s="196"/>
      <c r="Y33" s="249"/>
      <c r="Z33" s="197"/>
      <c r="AA33" s="249"/>
      <c r="AB33" s="2"/>
      <c r="AC33" s="2"/>
      <c r="AD33" s="2"/>
      <c r="AE33" s="2"/>
    </row>
    <row r="34" customFormat="1" ht="23.1" customHeight="1" spans="1:31">
      <c r="A34" s="285" t="s">
        <v>199</v>
      </c>
      <c r="B34" s="286" t="s">
        <v>81</v>
      </c>
      <c r="C34" s="287"/>
      <c r="D34" s="288"/>
      <c r="E34" s="289" t="s">
        <v>82</v>
      </c>
      <c r="F34" s="289">
        <v>2</v>
      </c>
      <c r="G34" s="289">
        <v>30</v>
      </c>
      <c r="H34" s="289">
        <v>0</v>
      </c>
      <c r="I34" s="289">
        <v>3</v>
      </c>
      <c r="J34" s="290">
        <f t="shared" si="0"/>
        <v>33</v>
      </c>
      <c r="K34" s="291"/>
      <c r="L34" s="242"/>
      <c r="M34" s="268"/>
      <c r="N34" s="195"/>
      <c r="O34" s="258"/>
      <c r="P34" s="258"/>
      <c r="Q34" s="268"/>
      <c r="R34" s="232"/>
      <c r="S34" s="195"/>
      <c r="T34" s="196"/>
      <c r="U34" s="232"/>
      <c r="V34" s="232"/>
      <c r="W34" s="268"/>
      <c r="X34" s="196"/>
      <c r="Y34" s="232"/>
      <c r="Z34" s="197"/>
      <c r="AA34" s="232"/>
      <c r="AB34" s="2"/>
      <c r="AC34" s="2"/>
      <c r="AD34" s="2"/>
      <c r="AE34" s="2"/>
    </row>
    <row r="35" customFormat="1" ht="23.1" customHeight="1" spans="1:31">
      <c r="A35" s="260" t="s">
        <v>101</v>
      </c>
      <c r="B35" s="261" t="s">
        <v>102</v>
      </c>
      <c r="C35" s="262"/>
      <c r="D35" s="263"/>
      <c r="E35" s="264" t="s">
        <v>86</v>
      </c>
      <c r="F35" s="264">
        <v>1</v>
      </c>
      <c r="G35" s="264">
        <v>15</v>
      </c>
      <c r="H35" s="264">
        <v>4</v>
      </c>
      <c r="I35" s="264">
        <v>3</v>
      </c>
      <c r="J35" s="266">
        <f t="shared" si="0"/>
        <v>22</v>
      </c>
      <c r="K35" s="293"/>
      <c r="L35" s="242"/>
      <c r="M35" s="195"/>
      <c r="N35" s="195"/>
      <c r="O35" s="196"/>
      <c r="P35" s="195"/>
      <c r="Q35" s="195"/>
      <c r="R35" s="195"/>
      <c r="S35" s="196"/>
      <c r="T35" s="196"/>
      <c r="U35" s="277"/>
      <c r="V35" s="277"/>
      <c r="W35" s="268"/>
      <c r="X35" s="196"/>
      <c r="Y35" s="232"/>
      <c r="Z35" s="197"/>
      <c r="AA35" s="232"/>
      <c r="AB35" s="2"/>
      <c r="AC35" s="2"/>
      <c r="AD35" s="2"/>
      <c r="AE35" s="2"/>
    </row>
    <row r="36" customFormat="1" ht="23.1" customHeight="1" spans="1:31">
      <c r="A36" s="269" t="s">
        <v>103</v>
      </c>
      <c r="B36" s="270" t="s">
        <v>104</v>
      </c>
      <c r="C36" s="271"/>
      <c r="D36" s="272"/>
      <c r="E36" s="273" t="s">
        <v>82</v>
      </c>
      <c r="F36" s="274">
        <v>2</v>
      </c>
      <c r="G36" s="274">
        <v>30</v>
      </c>
      <c r="H36" s="294">
        <v>15</v>
      </c>
      <c r="I36" s="274">
        <v>10</v>
      </c>
      <c r="J36" s="411">
        <f t="shared" si="0"/>
        <v>55</v>
      </c>
      <c r="K36" s="276"/>
      <c r="L36" s="257" t="s">
        <v>105</v>
      </c>
      <c r="M36" s="258"/>
      <c r="N36" s="258"/>
      <c r="O36" s="258"/>
      <c r="P36" s="258"/>
      <c r="Q36" s="259"/>
      <c r="R36" s="195"/>
      <c r="S36" s="258" t="s">
        <v>106</v>
      </c>
      <c r="T36" s="196"/>
      <c r="U36" s="195"/>
      <c r="V36" s="195"/>
      <c r="W36" s="195"/>
      <c r="X36" s="258" t="s">
        <v>107</v>
      </c>
      <c r="Y36" s="195"/>
      <c r="Z36" s="197"/>
      <c r="AA36" s="196"/>
      <c r="AB36" s="2"/>
      <c r="AC36" s="2"/>
      <c r="AD36" s="2"/>
      <c r="AE36" s="2"/>
    </row>
    <row r="37" customFormat="1" ht="23.1" customHeight="1" spans="1:31">
      <c r="A37" s="295" t="s">
        <v>110</v>
      </c>
      <c r="B37" s="296" t="s">
        <v>200</v>
      </c>
      <c r="C37" s="297"/>
      <c r="D37" s="298"/>
      <c r="E37" s="299" t="s">
        <v>79</v>
      </c>
      <c r="F37" s="300">
        <v>1</v>
      </c>
      <c r="G37" s="300">
        <v>10</v>
      </c>
      <c r="H37" s="301">
        <v>16</v>
      </c>
      <c r="I37" s="300">
        <v>1</v>
      </c>
      <c r="J37" s="302">
        <f t="shared" si="0"/>
        <v>27</v>
      </c>
      <c r="K37" s="303"/>
      <c r="L37" s="242"/>
      <c r="M37" s="195"/>
      <c r="N37" s="258"/>
      <c r="O37" s="196"/>
      <c r="P37" s="195"/>
      <c r="Q37" s="195"/>
      <c r="R37" s="195"/>
      <c r="S37" s="196"/>
      <c r="T37" s="258"/>
      <c r="U37" s="195"/>
      <c r="V37" s="195"/>
      <c r="W37" s="195"/>
      <c r="X37" s="195"/>
      <c r="Y37" s="195"/>
      <c r="Z37" s="304"/>
      <c r="AA37" s="196"/>
      <c r="AB37" s="2"/>
      <c r="AC37" s="2"/>
      <c r="AD37" s="2"/>
      <c r="AE37" s="2"/>
    </row>
    <row r="38" customFormat="1" ht="23.1" customHeight="1" spans="1:31">
      <c r="A38" s="305" t="s">
        <v>112</v>
      </c>
      <c r="B38" s="306"/>
      <c r="C38" s="306"/>
      <c r="D38" s="306"/>
      <c r="E38" s="307"/>
      <c r="F38" s="308">
        <f>SUM(F27:F36)</f>
        <v>26</v>
      </c>
      <c r="G38" s="308">
        <f>SUM(G27:G36)</f>
        <v>272</v>
      </c>
      <c r="H38" s="308">
        <f>SUM(H27:H36)</f>
        <v>267</v>
      </c>
      <c r="I38" s="308">
        <f>SUM(I27:I36)</f>
        <v>48</v>
      </c>
      <c r="J38" s="308">
        <f>SUM(J27:J36)</f>
        <v>587</v>
      </c>
      <c r="K38" s="309"/>
      <c r="L38" s="192"/>
      <c r="M38" s="190"/>
      <c r="N38" s="310"/>
      <c r="O38" s="189"/>
      <c r="P38" s="190"/>
      <c r="Q38" s="190"/>
      <c r="R38" s="190"/>
      <c r="S38" s="190"/>
      <c r="T38" s="310"/>
      <c r="U38" s="190"/>
      <c r="V38" s="190"/>
      <c r="W38" s="190"/>
      <c r="X38" s="190"/>
      <c r="Y38" s="190"/>
      <c r="Z38" s="311"/>
      <c r="AA38" s="196"/>
      <c r="AB38" s="2"/>
      <c r="AC38" s="2"/>
      <c r="AD38" s="2"/>
      <c r="AE38" s="2"/>
    </row>
    <row r="39" customFormat="1" ht="22.5" spans="1:31">
      <c r="A39" s="196"/>
      <c r="B39" s="196"/>
      <c r="C39" s="196"/>
      <c r="D39" s="196"/>
      <c r="E39" s="196"/>
      <c r="F39" s="196"/>
      <c r="G39" s="196"/>
      <c r="H39" s="196"/>
      <c r="I39" s="195"/>
      <c r="J39" s="246"/>
      <c r="K39" s="196"/>
      <c r="L39" s="195"/>
      <c r="M39" s="195"/>
      <c r="O39" s="196"/>
      <c r="P39" s="195"/>
      <c r="Q39" s="195"/>
      <c r="R39" s="195"/>
      <c r="S39" s="195"/>
      <c r="U39" s="196"/>
      <c r="V39" s="196"/>
      <c r="W39" s="196"/>
      <c r="X39" s="196"/>
      <c r="Y39" s="196"/>
      <c r="AA39" s="196"/>
      <c r="AB39" s="2"/>
      <c r="AC39" s="2"/>
      <c r="AD39" s="2"/>
      <c r="AE39" s="2"/>
    </row>
    <row r="40" ht="18.75" spans="1:31">
      <c r="A40" s="312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</row>
    <row r="41" ht="18.75" spans="1:31">
      <c r="A41" s="312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</row>
    <row r="42" ht="18.75" spans="1:31">
      <c r="A42" s="312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</row>
    <row r="43" ht="18.75" spans="1:31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</row>
    <row r="44" ht="18.75" spans="1:31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</row>
    <row r="45" ht="18.75" spans="1:31">
      <c r="A45" s="312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</row>
    <row r="46" ht="18.75" spans="1:31">
      <c r="A46" s="312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3"/>
      <c r="R46" s="312"/>
      <c r="S46" s="312"/>
      <c r="T46" s="312"/>
      <c r="U46" s="312"/>
      <c r="V46" s="312"/>
      <c r="W46" s="312"/>
      <c r="X46" s="312"/>
      <c r="Y46" s="312"/>
    </row>
    <row r="47" ht="18.75" spans="1:31">
      <c r="A47" s="312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</row>
    <row r="48" ht="18.75" spans="1:31">
      <c r="A48" s="312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</row>
    <row r="49" ht="18.75" spans="1:25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</row>
    <row r="50" ht="18.75" spans="1: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</row>
    <row r="51" ht="18.75" spans="1: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</row>
    <row r="52" ht="18.75" spans="1:25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</row>
    <row r="53" ht="18.75" spans="1:25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</row>
    <row r="54" ht="18.75" spans="1:25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</row>
    <row r="55" ht="18.75" spans="1: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</row>
    <row r="56" ht="18.75" spans="1:25">
      <c r="A56" s="312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</row>
    <row r="57" ht="18.75" spans="1:25">
      <c r="A57" s="312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</row>
    <row r="58" ht="18.75" spans="1:25">
      <c r="A58" s="312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</row>
    <row r="59" ht="18.75" spans="1:25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</row>
    <row r="60" ht="18.75" spans="1:25">
      <c r="A60" s="312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</row>
    <row r="61" ht="18.75" spans="1:25">
      <c r="A61" s="312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</row>
    <row r="62" ht="18.75" spans="1:25">
      <c r="A62" s="312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</row>
    <row r="63" ht="18.75" spans="1:25">
      <c r="A63" s="312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</row>
    <row r="64" ht="18.75" spans="1:25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</row>
    <row r="65" ht="18.75" spans="1:25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</row>
    <row r="66" ht="18.75" spans="1:25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</row>
    <row r="67" ht="18.75" spans="1:25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</row>
    <row r="68" ht="18.75" spans="1:25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</row>
    <row r="69" ht="18.75" spans="1:25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</row>
    <row r="70" ht="18.75" spans="1:25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</row>
    <row r="71" ht="18.75" spans="1:25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</row>
    <row r="72" ht="18.75" spans="1:25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</row>
    <row r="73" ht="18.75" spans="1:25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</row>
    <row r="74" ht="18.75" spans="1:25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</row>
    <row r="75" ht="18.75" spans="1:25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</row>
    <row r="76" ht="18.75" spans="1:25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</row>
    <row r="77" ht="18.75" spans="1:25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</row>
    <row r="78" ht="18.75" spans="1:25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</row>
    <row r="79" ht="18.75" spans="1:25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</row>
    <row r="80" ht="18.75" spans="1:25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</row>
    <row r="81" ht="18.75" spans="1:25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</row>
    <row r="82" ht="18.75" spans="1:25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</row>
    <row r="83" ht="18.75" spans="1:25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</row>
    <row r="84" ht="18.75" spans="1:25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</row>
    <row r="85" ht="18.75" spans="1:25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</row>
    <row r="86" ht="18.75" spans="1:25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</row>
    <row r="87" ht="18.75" spans="1:25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</row>
    <row r="88" ht="18.75" spans="1:25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</row>
    <row r="89" ht="18.75" spans="1:25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</row>
    <row r="90" ht="18.75" spans="1:25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</row>
    <row r="91" ht="18.75" spans="1:25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</row>
    <row r="92" ht="18.75" spans="1:25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</row>
    <row r="93" ht="18.75" spans="1:25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</row>
    <row r="94" ht="18.75" spans="1:25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</row>
    <row r="95" ht="18.75" spans="1:25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</row>
    <row r="96" ht="18.75" spans="1:25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</row>
    <row r="97" ht="18.75" spans="1:25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</row>
    <row r="98" ht="18.75" spans="1:25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</row>
    <row r="99" ht="18.75" spans="1:25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</row>
    <row r="100" ht="18.75" spans="1:25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</row>
    <row r="101" ht="18.75" spans="1:25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</row>
    <row r="102" ht="18.75" spans="1:25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</row>
    <row r="103" ht="18.75" spans="1:25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</row>
    <row r="104" ht="18.75" spans="1:25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</row>
    <row r="105" ht="18.75" spans="1:25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</row>
    <row r="106" ht="18.75" spans="1:25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</row>
    <row r="107" ht="18.75" spans="1:25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</row>
    <row r="108" ht="18.75" spans="1:25">
      <c r="A108" s="312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</row>
    <row r="109" ht="18.75" spans="1:25">
      <c r="A109" s="312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</row>
    <row r="110" ht="18.75" spans="1:25">
      <c r="A110" s="312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</row>
    <row r="111" ht="18.75" spans="1:25">
      <c r="A111" s="312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</row>
    <row r="112" ht="18.75" spans="1:25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</row>
    <row r="113" ht="18.75" spans="1:25">
      <c r="A113" s="312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</row>
    <row r="114" ht="18.75" spans="1:25">
      <c r="A114" s="312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</row>
    <row r="115" ht="18.75" spans="1:25">
      <c r="A115" s="312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</row>
    <row r="116" ht="18.75" spans="1:25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</row>
    <row r="117" ht="18.75" spans="1:25">
      <c r="A117" s="312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</row>
    <row r="118" ht="18.75" spans="1:25">
      <c r="A118" s="312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</row>
    <row r="119" ht="18.75" spans="1:25">
      <c r="A119" s="312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</row>
    <row r="120" ht="18.75" spans="1:25">
      <c r="A120" s="312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</row>
    <row r="121" ht="18.75" spans="1:25">
      <c r="A121" s="312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</row>
    <row r="122" ht="18.75" spans="1:25">
      <c r="A122" s="312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</row>
    <row r="123" ht="18.75" spans="1:25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</row>
    <row r="124" ht="18.75" spans="1:25">
      <c r="A124" s="312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</row>
    <row r="125" ht="18.75" spans="1:25">
      <c r="A125" s="312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</row>
    <row r="126" ht="18.75" spans="1:25">
      <c r="A126" s="312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</row>
    <row r="127" ht="18.75" spans="1:25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</row>
    <row r="128" ht="18.75" spans="1:25">
      <c r="A128" s="312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</row>
    <row r="129" ht="18.75" spans="1:25">
      <c r="A129" s="312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</row>
    <row r="130" ht="18.75" spans="1:25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</row>
    <row r="131" ht="18.75" spans="1:25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</row>
    <row r="132" ht="18.75" spans="1:25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</row>
    <row r="133" ht="18.75" spans="1:25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</row>
    <row r="134" ht="18.75" spans="1:25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</row>
    <row r="135" ht="18.75" spans="1:25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</row>
    <row r="136" ht="18.75" spans="1:25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</row>
    <row r="137" ht="18.75" spans="1:25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</row>
    <row r="138" ht="18.75" spans="1:25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</row>
    <row r="139" ht="18.75" spans="1:25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</row>
    <row r="140" ht="18.75" spans="1:25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</row>
    <row r="141" ht="18.75" spans="1:25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</row>
    <row r="142" ht="18.75" spans="1:25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</row>
    <row r="143" ht="18.75" spans="1:25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</row>
    <row r="144" ht="18.75" spans="1:25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</row>
    <row r="145" ht="18.75" spans="1:25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</row>
    <row r="146" ht="18.75" spans="1:25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</row>
    <row r="147" ht="18.75" spans="1:25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</row>
    <row r="148" ht="18.75" spans="1:25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</row>
    <row r="149" ht="18.75" spans="1:25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</row>
    <row r="150" ht="18.75" spans="1:25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</row>
    <row r="151" ht="18.75" spans="1:25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</row>
    <row r="152" ht="18.75" spans="1:25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</row>
    <row r="153" ht="18.75" spans="1:25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</row>
    <row r="154" ht="18.75" spans="1:25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</row>
    <row r="155" ht="18.75" spans="1:25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</row>
    <row r="156" ht="18.75" spans="1:25">
      <c r="A156" s="312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</row>
    <row r="157" ht="18.75" spans="1:25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</row>
    <row r="158" ht="18.75" spans="1:25">
      <c r="A158" s="312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</row>
    <row r="159" ht="18.75" spans="1:25">
      <c r="A159" s="312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</row>
    <row r="160" ht="18.75" spans="1:25">
      <c r="A160" s="312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</row>
    <row r="161" ht="18.75" spans="1:25">
      <c r="A161" s="312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</row>
    <row r="162" ht="18.75" spans="1:25">
      <c r="A162" s="312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</row>
    <row r="163" ht="18.75" spans="1:25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</row>
    <row r="164" ht="18.75" spans="1:25">
      <c r="A164" s="312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</row>
    <row r="165" ht="18.75" spans="1:25">
      <c r="A165" s="312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</row>
    <row r="166" ht="18.75" spans="1:25">
      <c r="A166" s="312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</row>
    <row r="167" ht="18.75" spans="1:25">
      <c r="A167" s="312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</row>
    <row r="168" ht="18.75" spans="1:25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</row>
    <row r="169" ht="18.75" spans="1:25">
      <c r="A169" s="312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</row>
    <row r="170" ht="18.75" spans="1:25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</row>
    <row r="171" ht="18.75" spans="1:25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</row>
    <row r="172" ht="18.75" spans="1:25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</row>
    <row r="173" ht="18.75" spans="1:25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</row>
    <row r="174" ht="18.75" spans="1:25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</row>
    <row r="175" ht="18.75" spans="1:25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</row>
    <row r="176" ht="18.75" spans="1:25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</row>
    <row r="177" ht="18.75" spans="1:25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</row>
    <row r="178" ht="18.75" spans="1:25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</row>
    <row r="179" ht="18.75" spans="1:25">
      <c r="A179" s="312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</row>
    <row r="180" ht="18.75" spans="1:25">
      <c r="A180" s="312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</row>
    <row r="181" ht="18.75" spans="1:25">
      <c r="A181" s="312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</row>
    <row r="182" ht="18.75" spans="1:25">
      <c r="A182" s="312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</row>
    <row r="183" ht="18.75" spans="1:25">
      <c r="A183" s="312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</row>
    <row r="184" ht="18.75" spans="1:25">
      <c r="A184" s="312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</row>
    <row r="185" ht="18.75" spans="1:25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</row>
    <row r="186" ht="18.75" spans="1:25">
      <c r="A186" s="312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</row>
    <row r="187" ht="18.75" spans="1:25">
      <c r="A187" s="312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</row>
    <row r="188" ht="18.75" spans="1:25">
      <c r="A188" s="312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</row>
    <row r="189" ht="18.75" spans="1:25">
      <c r="A189" s="312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</row>
    <row r="190" ht="18.75" spans="1:25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</row>
    <row r="191" ht="18.75" spans="1:25">
      <c r="A191" s="312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</row>
    <row r="192" ht="18.75" spans="1:25">
      <c r="A192" s="312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</row>
    <row r="193" ht="18.75" spans="1:25">
      <c r="A193" s="312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</row>
    <row r="194" ht="18.75" spans="1:25">
      <c r="A194" s="312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</row>
    <row r="195" ht="18.75" spans="1:25">
      <c r="A195" s="312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</row>
    <row r="196" ht="18.75" spans="1:25">
      <c r="A196" s="312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</row>
    <row r="197" ht="18.75" spans="1:25">
      <c r="A197" s="312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</row>
    <row r="198" ht="18.75" spans="1:25">
      <c r="A198" s="312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</row>
    <row r="199" ht="18.75" spans="1:25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</row>
    <row r="200" ht="18.75" spans="1:25">
      <c r="A200" s="312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</row>
    <row r="201" ht="18.75" spans="1:25">
      <c r="A201" s="312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</row>
    <row r="202" ht="18.75" spans="1:25">
      <c r="A202" s="312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</row>
    <row r="203" ht="18.75" spans="1:25">
      <c r="A203" s="312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</row>
    <row r="204" ht="18.75" spans="1:25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</row>
    <row r="205" ht="18.75" spans="1:25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</row>
    <row r="206" ht="18.75" spans="1:25">
      <c r="A206" s="312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</row>
    <row r="207" ht="18.75" spans="1:25">
      <c r="A207" s="312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</row>
    <row r="208" ht="18.75" spans="1:25">
      <c r="A208" s="312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</row>
    <row r="209" ht="18.75" spans="1:25">
      <c r="A209" s="312"/>
      <c r="B209" s="312"/>
      <c r="C209" s="312"/>
      <c r="D209" s="312"/>
      <c r="E209" s="312"/>
      <c r="F209" s="312"/>
      <c r="G209" s="312"/>
      <c r="H209" s="312"/>
      <c r="I209" s="312"/>
      <c r="J209" s="312"/>
      <c r="K209" s="312"/>
      <c r="L209" s="312"/>
      <c r="M209" s="312"/>
      <c r="N209" s="312"/>
      <c r="O209" s="312"/>
      <c r="P209" s="312"/>
      <c r="Q209" s="312"/>
      <c r="R209" s="312"/>
      <c r="S209" s="312"/>
      <c r="T209" s="312"/>
      <c r="U209" s="312"/>
      <c r="V209" s="312"/>
      <c r="W209" s="312"/>
      <c r="X209" s="312"/>
      <c r="Y209" s="312"/>
    </row>
  </sheetData>
  <mergeCells count="70">
    <mergeCell ref="I1:T1"/>
    <mergeCell ref="I2:T2"/>
    <mergeCell ref="C7:F7"/>
    <mergeCell ref="G7:J7"/>
    <mergeCell ref="K7:O7"/>
    <mergeCell ref="P7:S7"/>
    <mergeCell ref="T7:X7"/>
    <mergeCell ref="Y7:Z7"/>
    <mergeCell ref="AC12:AD12"/>
    <mergeCell ref="AC13:AF13"/>
    <mergeCell ref="AC14:AF14"/>
    <mergeCell ref="AC15:AF15"/>
    <mergeCell ref="A23:B23"/>
    <mergeCell ref="C23:Z23"/>
    <mergeCell ref="G25:J25"/>
    <mergeCell ref="B27:D27"/>
    <mergeCell ref="B28:D28"/>
    <mergeCell ref="B29:D29"/>
    <mergeCell ref="L29:P29"/>
    <mergeCell ref="B30:D30"/>
    <mergeCell ref="B31:D31"/>
    <mergeCell ref="B32:D32"/>
    <mergeCell ref="B33:D33"/>
    <mergeCell ref="B34:D34"/>
    <mergeCell ref="B35:D35"/>
    <mergeCell ref="B36:D36"/>
    <mergeCell ref="L36:P36"/>
    <mergeCell ref="B37:D37"/>
    <mergeCell ref="A38:E38"/>
    <mergeCell ref="A7:A10"/>
    <mergeCell ref="A11:A12"/>
    <mergeCell ref="A13:A14"/>
    <mergeCell ref="A15:A16"/>
    <mergeCell ref="A17:A18"/>
    <mergeCell ref="A19:A20"/>
    <mergeCell ref="A25:A26"/>
    <mergeCell ref="C9:C10"/>
    <mergeCell ref="D9:D10"/>
    <mergeCell ref="E9:E10"/>
    <mergeCell ref="E25:E26"/>
    <mergeCell ref="F9:F10"/>
    <mergeCell ref="F25:F26"/>
    <mergeCell ref="G9:G10"/>
    <mergeCell ref="H9:H10"/>
    <mergeCell ref="I9:I10"/>
    <mergeCell ref="J9:J10"/>
    <mergeCell ref="K9:K10"/>
    <mergeCell ref="K11:K12"/>
    <mergeCell ref="K17:K18"/>
    <mergeCell ref="K19:K20"/>
    <mergeCell ref="K25:K26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V17:V18"/>
    <mergeCell ref="W9:W10"/>
    <mergeCell ref="X9:X10"/>
    <mergeCell ref="Y9:Y10"/>
    <mergeCell ref="Z9:Z10"/>
    <mergeCell ref="A1:H2"/>
    <mergeCell ref="W11:Z20"/>
    <mergeCell ref="B25:D26"/>
  </mergeCells>
  <pageMargins left="0.37" right="0.22" top="0.36" bottom="0.23" header="0.3" footer="0.3"/>
  <pageSetup paperSize="8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8"/>
  <sheetViews>
    <sheetView zoomScale="66" zoomScaleNormal="66" topLeftCell="C18" workbookViewId="0">
      <selection activeCell="AB33" sqref="AB33"/>
    </sheetView>
  </sheetViews>
  <sheetFormatPr defaultColWidth="9.1047619047619" defaultRowHeight="15"/>
  <cols>
    <col min="1" max="1" width="14.1047619047619" style="2" customWidth="1"/>
    <col min="2" max="2" width="11.6666666666667" style="2" customWidth="1"/>
    <col min="3" max="26" width="10.6666666666667" style="2" customWidth="1"/>
    <col min="27" max="16384" width="9.1047619047619" style="2"/>
  </cols>
  <sheetData>
    <row r="1" ht="57" customHeight="1" spans="1:33">
      <c r="A1" s="3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6" t="s">
        <v>2</v>
      </c>
      <c r="X1" s="6" t="s">
        <v>201</v>
      </c>
    </row>
    <row r="2" ht="25.5" customHeight="1" spans="1:33">
      <c r="A2" s="3"/>
      <c r="B2" s="3"/>
      <c r="C2" s="3"/>
      <c r="D2" s="3"/>
      <c r="E2" s="3"/>
      <c r="F2" s="3"/>
      <c r="G2" s="3"/>
      <c r="H2" s="3"/>
      <c r="I2" s="7" t="s">
        <v>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8"/>
      <c r="W2" s="9" t="s">
        <v>170</v>
      </c>
    </row>
    <row r="3" ht="20.25" spans="1:33">
      <c r="W3" s="10" t="s">
        <v>171</v>
      </c>
      <c r="Y3" s="10" t="s">
        <v>7</v>
      </c>
    </row>
    <row r="4" ht="20.25" spans="1:33">
      <c r="W4" s="10" t="s">
        <v>202</v>
      </c>
    </row>
    <row r="5" ht="25.5" customHeight="1" spans="1:33">
      <c r="H5" s="11"/>
      <c r="J5" s="12" t="s">
        <v>9</v>
      </c>
      <c r="W5" s="10" t="s">
        <v>203</v>
      </c>
    </row>
    <row r="6" ht="15.75"/>
    <row r="7" ht="24.75" customHeight="1" spans="1:33">
      <c r="A7" s="13" t="s">
        <v>11</v>
      </c>
      <c r="B7" s="14" t="s">
        <v>12</v>
      </c>
      <c r="C7" s="15">
        <v>3</v>
      </c>
      <c r="D7" s="16"/>
      <c r="E7" s="16"/>
      <c r="F7" s="17"/>
      <c r="G7" s="15">
        <v>4</v>
      </c>
      <c r="H7" s="16"/>
      <c r="I7" s="16"/>
      <c r="J7" s="17"/>
      <c r="K7" s="15">
        <v>5</v>
      </c>
      <c r="L7" s="16"/>
      <c r="M7" s="16"/>
      <c r="N7" s="16"/>
      <c r="O7" s="17"/>
      <c r="P7" s="15">
        <v>6</v>
      </c>
      <c r="Q7" s="16"/>
      <c r="R7" s="16"/>
      <c r="S7" s="17"/>
      <c r="T7" s="18" t="s">
        <v>13</v>
      </c>
      <c r="U7" s="19"/>
      <c r="V7" s="19"/>
      <c r="W7" s="19"/>
      <c r="X7" s="20"/>
      <c r="Y7" s="15">
        <v>8</v>
      </c>
      <c r="Z7" s="17"/>
    </row>
    <row r="8" ht="19.5" customHeight="1" spans="1:33">
      <c r="A8" s="21"/>
      <c r="B8" s="22" t="s">
        <v>14</v>
      </c>
      <c r="C8" s="23">
        <v>1</v>
      </c>
      <c r="D8" s="24">
        <v>2</v>
      </c>
      <c r="E8" s="24">
        <v>3</v>
      </c>
      <c r="F8" s="25">
        <v>4</v>
      </c>
      <c r="G8" s="23">
        <v>5</v>
      </c>
      <c r="H8" s="24">
        <v>6</v>
      </c>
      <c r="I8" s="24">
        <v>7</v>
      </c>
      <c r="J8" s="25">
        <v>8</v>
      </c>
      <c r="K8" s="23">
        <v>9</v>
      </c>
      <c r="L8" s="24">
        <v>10</v>
      </c>
      <c r="M8" s="24">
        <v>11</v>
      </c>
      <c r="N8" s="24">
        <v>12</v>
      </c>
      <c r="O8" s="25">
        <v>13</v>
      </c>
      <c r="P8" s="23">
        <v>14</v>
      </c>
      <c r="Q8" s="24">
        <v>15</v>
      </c>
      <c r="R8" s="24">
        <v>16</v>
      </c>
      <c r="S8" s="25">
        <v>17</v>
      </c>
      <c r="T8" s="23">
        <v>18</v>
      </c>
      <c r="U8" s="24">
        <v>19</v>
      </c>
      <c r="V8" s="24">
        <v>20</v>
      </c>
      <c r="W8" s="24">
        <v>21</v>
      </c>
      <c r="X8" s="25">
        <v>22</v>
      </c>
      <c r="Y8" s="23">
        <v>23</v>
      </c>
      <c r="Z8" s="26">
        <v>24</v>
      </c>
    </row>
    <row r="9" ht="33" customHeight="1" spans="1:33">
      <c r="A9" s="27"/>
      <c r="B9" s="28" t="s">
        <v>15</v>
      </c>
      <c r="C9" s="29" t="s">
        <v>16</v>
      </c>
      <c r="D9" s="30" t="s">
        <v>204</v>
      </c>
      <c r="E9" s="30" t="s">
        <v>205</v>
      </c>
      <c r="F9" s="31" t="s">
        <v>19</v>
      </c>
      <c r="G9" s="29" t="s">
        <v>20</v>
      </c>
      <c r="H9" s="30" t="s">
        <v>34</v>
      </c>
      <c r="I9" s="30" t="s">
        <v>22</v>
      </c>
      <c r="J9" s="31" t="s">
        <v>23</v>
      </c>
      <c r="K9" s="29" t="s">
        <v>24</v>
      </c>
      <c r="L9" s="30" t="s">
        <v>206</v>
      </c>
      <c r="M9" s="30" t="s">
        <v>207</v>
      </c>
      <c r="N9" s="30" t="s">
        <v>27</v>
      </c>
      <c r="O9" s="31" t="s">
        <v>28</v>
      </c>
      <c r="P9" s="29" t="s">
        <v>29</v>
      </c>
      <c r="Q9" s="30" t="s">
        <v>30</v>
      </c>
      <c r="R9" s="30" t="s">
        <v>208</v>
      </c>
      <c r="S9" s="31" t="s">
        <v>32</v>
      </c>
      <c r="T9" s="29" t="s">
        <v>209</v>
      </c>
      <c r="U9" s="30" t="s">
        <v>21</v>
      </c>
      <c r="V9" s="30" t="s">
        <v>22</v>
      </c>
      <c r="W9" s="30" t="s">
        <v>23</v>
      </c>
      <c r="X9" s="31" t="s">
        <v>36</v>
      </c>
      <c r="Y9" s="29" t="s">
        <v>37</v>
      </c>
      <c r="Z9" s="32" t="s">
        <v>38</v>
      </c>
    </row>
    <row r="10" ht="39.9" customHeight="1" spans="1:33">
      <c r="A10" s="13">
        <v>2</v>
      </c>
      <c r="B10" s="33" t="s">
        <v>39</v>
      </c>
      <c r="C10" s="34"/>
      <c r="D10" s="35"/>
      <c r="E10" s="35"/>
      <c r="F10" s="36"/>
      <c r="G10" s="34"/>
      <c r="H10" s="37"/>
      <c r="I10" s="37"/>
      <c r="J10" s="38"/>
      <c r="K10" s="39" t="s">
        <v>41</v>
      </c>
      <c r="L10" s="40"/>
      <c r="M10" s="40"/>
      <c r="N10" s="41"/>
      <c r="O10" s="42"/>
      <c r="P10" s="43"/>
      <c r="Q10" s="44"/>
      <c r="R10" s="44"/>
      <c r="S10" s="45"/>
      <c r="T10" s="46" t="s">
        <v>43</v>
      </c>
      <c r="U10" s="47" t="s">
        <v>178</v>
      </c>
      <c r="V10" s="48"/>
      <c r="W10" s="49" t="s">
        <v>44</v>
      </c>
      <c r="X10" s="49"/>
      <c r="Y10" s="49"/>
      <c r="Z10" s="50"/>
      <c r="AC10" s="51"/>
      <c r="AD10" s="52"/>
    </row>
    <row r="11" ht="39.9" customHeight="1" spans="1:33">
      <c r="A11" s="53"/>
      <c r="B11" s="54" t="s">
        <v>45</v>
      </c>
      <c r="C11" s="55"/>
      <c r="D11" s="56"/>
      <c r="E11" s="56"/>
      <c r="F11" s="57"/>
      <c r="G11" s="55"/>
      <c r="H11" s="56"/>
      <c r="I11" s="56"/>
      <c r="J11" s="57"/>
      <c r="K11" s="58"/>
      <c r="L11" s="59"/>
      <c r="M11" s="60"/>
      <c r="N11" s="61"/>
      <c r="O11" s="62"/>
      <c r="P11" s="63"/>
      <c r="Q11" s="64"/>
      <c r="R11" s="64"/>
      <c r="S11" s="65"/>
      <c r="T11" s="66"/>
      <c r="U11" s="67"/>
      <c r="V11" s="68" t="s">
        <v>179</v>
      </c>
      <c r="W11" s="49"/>
      <c r="X11" s="49"/>
      <c r="Y11" s="49"/>
      <c r="Z11" s="50"/>
      <c r="AC11" s="69"/>
      <c r="AD11" s="69"/>
    </row>
    <row r="12" ht="39.9" customHeight="1" spans="1:33">
      <c r="A12" s="70">
        <v>3</v>
      </c>
      <c r="B12" s="33" t="s">
        <v>39</v>
      </c>
      <c r="C12" s="71"/>
      <c r="D12" s="72"/>
      <c r="E12" s="72"/>
      <c r="F12" s="73"/>
      <c r="G12" s="74"/>
      <c r="H12" s="72"/>
      <c r="I12" s="75"/>
      <c r="J12" s="76"/>
      <c r="K12" s="77" t="s">
        <v>142</v>
      </c>
      <c r="L12" s="78"/>
      <c r="M12" s="79"/>
      <c r="N12" s="79"/>
      <c r="O12" s="80"/>
      <c r="P12" s="81"/>
      <c r="Q12" s="79"/>
      <c r="R12" s="79"/>
      <c r="S12" s="80"/>
      <c r="T12" s="82"/>
      <c r="U12" s="83"/>
      <c r="V12" s="83"/>
      <c r="W12" s="49"/>
      <c r="X12" s="49"/>
      <c r="Y12" s="49"/>
      <c r="Z12" s="50"/>
      <c r="AC12" s="84"/>
      <c r="AD12" s="84"/>
      <c r="AE12" s="84"/>
      <c r="AF12" s="84"/>
    </row>
    <row r="13" ht="39.9" customHeight="1" spans="1:33">
      <c r="A13" s="53"/>
      <c r="B13" s="54" t="s">
        <v>45</v>
      </c>
      <c r="C13" s="85"/>
      <c r="D13" s="86"/>
      <c r="E13" s="86"/>
      <c r="F13" s="87"/>
      <c r="G13" s="88"/>
      <c r="H13" s="89"/>
      <c r="I13" s="90"/>
      <c r="J13" s="91"/>
      <c r="K13" s="92" t="s">
        <v>181</v>
      </c>
      <c r="L13" s="93"/>
      <c r="M13" s="93"/>
      <c r="N13" s="94"/>
      <c r="O13" s="95"/>
      <c r="P13" s="96"/>
      <c r="Q13" s="97"/>
      <c r="R13" s="97"/>
      <c r="S13" s="98"/>
      <c r="T13" s="99"/>
      <c r="U13" s="100" t="s">
        <v>180</v>
      </c>
      <c r="V13" s="101"/>
      <c r="W13" s="49"/>
      <c r="X13" s="49"/>
      <c r="Y13" s="49"/>
      <c r="Z13" s="50"/>
      <c r="AC13" s="102"/>
      <c r="AD13" s="102"/>
      <c r="AE13" s="102"/>
      <c r="AF13" s="102"/>
      <c r="AG13" s="103"/>
    </row>
    <row r="14" ht="39.9" customHeight="1" spans="1:33">
      <c r="A14" s="70">
        <v>4</v>
      </c>
      <c r="B14" s="33" t="s">
        <v>39</v>
      </c>
      <c r="C14" s="104"/>
      <c r="D14" s="105"/>
      <c r="E14" s="105"/>
      <c r="F14" s="106"/>
      <c r="G14" s="34"/>
      <c r="H14" s="37"/>
      <c r="I14" s="37"/>
      <c r="J14" s="38"/>
      <c r="K14" s="107"/>
      <c r="L14" s="40"/>
      <c r="M14" s="41"/>
      <c r="N14" s="108"/>
      <c r="O14" s="109"/>
      <c r="P14" s="43"/>
      <c r="Q14" s="44"/>
      <c r="R14" s="110" t="s">
        <v>182</v>
      </c>
      <c r="S14" s="111"/>
      <c r="T14" s="112" t="s">
        <v>183</v>
      </c>
      <c r="U14" s="113"/>
      <c r="V14" s="48"/>
      <c r="W14" s="49"/>
      <c r="X14" s="49"/>
      <c r="Y14" s="49"/>
      <c r="Z14" s="50"/>
      <c r="AC14" s="102"/>
      <c r="AD14" s="102"/>
      <c r="AE14" s="102"/>
      <c r="AF14" s="102"/>
      <c r="AG14" s="114"/>
    </row>
    <row r="15" ht="39.9" customHeight="1" spans="1:33">
      <c r="A15" s="53"/>
      <c r="B15" s="54" t="s">
        <v>45</v>
      </c>
      <c r="C15" s="115"/>
      <c r="D15" s="59"/>
      <c r="E15" s="59"/>
      <c r="F15" s="116"/>
      <c r="G15" s="117"/>
      <c r="H15" s="118"/>
      <c r="I15" s="119"/>
      <c r="J15" s="120"/>
      <c r="K15" s="121"/>
      <c r="L15" s="118"/>
      <c r="M15" s="122"/>
      <c r="N15" s="123"/>
      <c r="O15" s="124"/>
      <c r="P15" s="125"/>
      <c r="Q15" s="126"/>
      <c r="R15" s="126"/>
      <c r="S15" s="127" t="s">
        <v>184</v>
      </c>
      <c r="T15" s="128"/>
      <c r="U15" s="129"/>
      <c r="V15" s="101"/>
      <c r="W15" s="49"/>
      <c r="X15" s="49"/>
      <c r="Y15" s="49"/>
      <c r="Z15" s="50"/>
    </row>
    <row r="16" ht="39.9" customHeight="1" spans="1:33">
      <c r="A16" s="70">
        <v>5</v>
      </c>
      <c r="B16" s="33" t="s">
        <v>39</v>
      </c>
      <c r="C16" s="130"/>
      <c r="D16" s="72"/>
      <c r="E16" s="72"/>
      <c r="F16" s="73"/>
      <c r="G16" s="131" t="s">
        <v>53</v>
      </c>
      <c r="H16" s="72"/>
      <c r="I16" s="132"/>
      <c r="J16" s="77" t="s">
        <v>145</v>
      </c>
      <c r="K16" s="133" t="s">
        <v>54</v>
      </c>
      <c r="L16" s="134" t="s">
        <v>53</v>
      </c>
      <c r="M16" s="135"/>
      <c r="N16" s="135"/>
      <c r="O16" s="136"/>
      <c r="P16" s="137" t="s">
        <v>185</v>
      </c>
      <c r="Q16" s="135"/>
      <c r="R16" s="138"/>
      <c r="S16" s="136"/>
      <c r="T16" s="139"/>
      <c r="U16" s="140" t="s">
        <v>210</v>
      </c>
      <c r="V16" s="141" t="s">
        <v>187</v>
      </c>
      <c r="W16" s="49"/>
      <c r="X16" s="49"/>
      <c r="Y16" s="49"/>
      <c r="Z16" s="50"/>
    </row>
    <row r="17" ht="36.75" customHeight="1" spans="1:31">
      <c r="A17" s="53"/>
      <c r="B17" s="54" t="s">
        <v>45</v>
      </c>
      <c r="C17" s="85"/>
      <c r="D17" s="86"/>
      <c r="E17" s="86"/>
      <c r="F17" s="87"/>
      <c r="G17" s="142"/>
      <c r="H17" s="143"/>
      <c r="I17" s="89"/>
      <c r="J17" s="144"/>
      <c r="K17" s="145"/>
      <c r="L17" s="146"/>
      <c r="M17" s="146"/>
      <c r="N17" s="147"/>
      <c r="O17" s="148"/>
      <c r="P17" s="149"/>
      <c r="Q17" s="150"/>
      <c r="R17" s="151"/>
      <c r="S17" s="152"/>
      <c r="T17" s="153"/>
      <c r="U17" s="154"/>
      <c r="V17" s="155"/>
      <c r="W17" s="49"/>
      <c r="X17" s="49"/>
      <c r="Y17" s="49"/>
      <c r="Z17" s="50"/>
      <c r="AE17" s="156"/>
    </row>
    <row r="18" ht="42" customHeight="1" spans="1:31">
      <c r="A18" s="70">
        <v>6</v>
      </c>
      <c r="B18" s="33" t="s">
        <v>39</v>
      </c>
      <c r="C18" s="104"/>
      <c r="D18" s="105"/>
      <c r="E18" s="105"/>
      <c r="F18" s="106"/>
      <c r="G18" s="104"/>
      <c r="H18" s="157" t="s">
        <v>188</v>
      </c>
      <c r="I18" s="158" t="s">
        <v>189</v>
      </c>
      <c r="J18" s="159" t="s">
        <v>190</v>
      </c>
      <c r="K18" s="160" t="s">
        <v>61</v>
      </c>
      <c r="L18" s="40"/>
      <c r="M18" s="132"/>
      <c r="N18" s="161"/>
      <c r="O18" s="162"/>
      <c r="P18" s="43"/>
      <c r="Q18" s="163" t="s">
        <v>191</v>
      </c>
      <c r="R18" s="164"/>
      <c r="S18" s="165"/>
      <c r="T18" s="166"/>
      <c r="U18" s="167"/>
      <c r="V18" s="83"/>
      <c r="W18" s="49"/>
      <c r="X18" s="49"/>
      <c r="Y18" s="49"/>
      <c r="Z18" s="50"/>
    </row>
    <row r="19" ht="38.25" customHeight="1" spans="1:31">
      <c r="A19" s="27"/>
      <c r="B19" s="168" t="s">
        <v>45</v>
      </c>
      <c r="C19" s="169"/>
      <c r="D19" s="170"/>
      <c r="E19" s="171"/>
      <c r="F19" s="172"/>
      <c r="G19" s="169"/>
      <c r="H19" s="170"/>
      <c r="I19" s="171"/>
      <c r="J19" s="173"/>
      <c r="K19" s="174"/>
      <c r="L19" s="175"/>
      <c r="M19" s="176"/>
      <c r="N19" s="177"/>
      <c r="O19" s="178"/>
      <c r="P19" s="179"/>
      <c r="Q19" s="180"/>
      <c r="R19" s="181"/>
      <c r="S19" s="182"/>
      <c r="T19" s="183"/>
      <c r="U19" s="184"/>
      <c r="V19" s="185"/>
      <c r="W19" s="186"/>
      <c r="X19" s="186"/>
      <c r="Y19" s="186"/>
      <c r="Z19" s="187"/>
    </row>
    <row r="20" ht="23.25" hidden="1" customHeight="1" spans="1:31">
      <c r="A20" s="188"/>
      <c r="B20" s="189"/>
      <c r="C20" s="190"/>
      <c r="D20" s="190"/>
      <c r="E20" s="190"/>
      <c r="F20" s="190"/>
      <c r="G20" s="190"/>
      <c r="H20" s="190"/>
      <c r="I20" s="191"/>
      <c r="J20" s="192"/>
      <c r="K20" s="190"/>
      <c r="L20" s="190"/>
      <c r="M20" s="190"/>
      <c r="N20" s="190"/>
      <c r="O20" s="190"/>
      <c r="P20" s="190"/>
      <c r="Q20" s="192"/>
      <c r="R20" s="190"/>
      <c r="S20" s="190"/>
      <c r="T20" s="190"/>
      <c r="U20" s="190"/>
      <c r="V20" s="190"/>
      <c r="W20" s="192"/>
      <c r="X20" s="190"/>
      <c r="Y20" s="190"/>
      <c r="Z20" s="193"/>
    </row>
    <row r="21" ht="18.75" spans="1:31">
      <c r="A21" s="194"/>
      <c r="B21" s="195"/>
      <c r="C21" s="195"/>
      <c r="D21" s="196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7"/>
    </row>
    <row r="22" s="1" customFormat="1" ht="29.25" customHeight="1" spans="1:31">
      <c r="A22" s="198" t="s">
        <v>65</v>
      </c>
      <c r="B22" s="199"/>
      <c r="C22" s="200" t="s">
        <v>66</v>
      </c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1"/>
      <c r="AA22" s="202"/>
      <c r="AB22" s="203"/>
      <c r="AC22" s="204"/>
      <c r="AD22" s="156"/>
      <c r="AE22" s="156"/>
    </row>
    <row r="23" s="1" customFormat="1" ht="13.5" customHeight="1" spans="1:31">
      <c r="A23" s="205"/>
      <c r="B23" s="206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8"/>
      <c r="T23" s="209"/>
      <c r="U23" s="207"/>
      <c r="V23" s="207"/>
      <c r="W23" s="208"/>
      <c r="X23" s="207"/>
      <c r="Y23" s="209"/>
      <c r="Z23" s="210"/>
      <c r="AA23" s="207"/>
      <c r="AB23" s="203"/>
      <c r="AC23" s="204"/>
      <c r="AD23" s="156"/>
      <c r="AE23" s="156"/>
    </row>
    <row r="24" customFormat="1" ht="25.5" customHeight="1" spans="1:31">
      <c r="A24" s="211" t="s">
        <v>67</v>
      </c>
      <c r="B24" s="212" t="s">
        <v>68</v>
      </c>
      <c r="C24" s="213"/>
      <c r="D24" s="214"/>
      <c r="E24" s="215" t="s">
        <v>69</v>
      </c>
      <c r="F24" s="216" t="s">
        <v>70</v>
      </c>
      <c r="G24" s="217" t="s">
        <v>71</v>
      </c>
      <c r="H24" s="217"/>
      <c r="I24" s="217"/>
      <c r="J24" s="217"/>
      <c r="K24" s="218" t="s">
        <v>72</v>
      </c>
      <c r="L24" s="219"/>
      <c r="M24" s="220" t="s">
        <v>73</v>
      </c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2"/>
      <c r="Z24" s="223"/>
      <c r="AA24" s="196"/>
      <c r="AB24" s="2"/>
      <c r="AC24" s="2"/>
      <c r="AD24" s="156"/>
      <c r="AE24" s="2"/>
    </row>
    <row r="25" customFormat="1" ht="25.5" customHeight="1" spans="1:31">
      <c r="A25" s="224"/>
      <c r="B25" s="225"/>
      <c r="C25" s="226"/>
      <c r="D25" s="227"/>
      <c r="E25" s="228"/>
      <c r="F25" s="229"/>
      <c r="G25" s="230" t="s">
        <v>55</v>
      </c>
      <c r="H25" s="230" t="s">
        <v>43</v>
      </c>
      <c r="I25" s="230" t="s">
        <v>74</v>
      </c>
      <c r="J25" s="229" t="s">
        <v>75</v>
      </c>
      <c r="K25" s="218"/>
      <c r="L25" s="231"/>
      <c r="M25" s="232"/>
      <c r="N25" s="233" t="s">
        <v>76</v>
      </c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4"/>
      <c r="AA25" s="196"/>
      <c r="AB25" s="2"/>
      <c r="AC25" s="2"/>
      <c r="AD25" s="2"/>
      <c r="AE25" s="2"/>
    </row>
    <row r="26" customFormat="1" ht="23.1" customHeight="1" spans="1:31">
      <c r="A26" s="235" t="s">
        <v>156</v>
      </c>
      <c r="B26" s="236" t="s">
        <v>157</v>
      </c>
      <c r="C26" s="237"/>
      <c r="D26" s="238"/>
      <c r="E26" s="239" t="s">
        <v>79</v>
      </c>
      <c r="F26" s="239">
        <v>4</v>
      </c>
      <c r="G26" s="239">
        <v>42</v>
      </c>
      <c r="H26" s="239">
        <v>72</v>
      </c>
      <c r="I26" s="239">
        <v>6</v>
      </c>
      <c r="J26" s="240">
        <f t="shared" ref="J26:J36" si="0">SUM(G26:I26)</f>
        <v>120</v>
      </c>
      <c r="K26" s="241"/>
      <c r="L26" s="242"/>
      <c r="M26" s="243"/>
      <c r="N26" s="244"/>
      <c r="O26" s="245"/>
      <c r="P26" s="246"/>
      <c r="Q26" s="232"/>
      <c r="R26" s="246"/>
      <c r="S26" s="246"/>
      <c r="T26" s="195"/>
      <c r="U26" s="195"/>
      <c r="V26" s="195"/>
      <c r="W26" s="195"/>
      <c r="X26" s="195"/>
      <c r="Y26" s="195"/>
      <c r="Z26" s="197"/>
      <c r="AA26" s="247"/>
      <c r="AB26" s="2"/>
      <c r="AC26" s="2"/>
      <c r="AD26" s="2"/>
      <c r="AE26" s="2"/>
    </row>
    <row r="27" customFormat="1" ht="23.1" customHeight="1" spans="1:31">
      <c r="A27" s="235" t="s">
        <v>80</v>
      </c>
      <c r="B27" s="236" t="s">
        <v>192</v>
      </c>
      <c r="C27" s="237"/>
      <c r="D27" s="238"/>
      <c r="E27" s="239" t="s">
        <v>79</v>
      </c>
      <c r="F27" s="239">
        <v>2</v>
      </c>
      <c r="G27" s="239">
        <v>22</v>
      </c>
      <c r="H27" s="239">
        <v>32</v>
      </c>
      <c r="I27" s="239">
        <v>6</v>
      </c>
      <c r="J27" s="240">
        <f t="shared" si="0"/>
        <v>60</v>
      </c>
      <c r="K27" s="248"/>
      <c r="L27" s="242"/>
      <c r="M27" s="243"/>
      <c r="N27" s="244"/>
      <c r="O27" s="245"/>
      <c r="P27" s="246"/>
      <c r="Q27" s="232"/>
      <c r="R27" s="246"/>
      <c r="S27" s="246"/>
      <c r="T27" s="195"/>
      <c r="U27" s="195"/>
      <c r="V27" s="195"/>
      <c r="W27" s="195"/>
      <c r="X27" s="249" t="s">
        <v>83</v>
      </c>
      <c r="Y27" s="195"/>
      <c r="Z27" s="197"/>
      <c r="AA27" s="247"/>
      <c r="AB27" s="2"/>
      <c r="AC27" s="2"/>
      <c r="AD27" s="2"/>
      <c r="AE27" s="2"/>
    </row>
    <row r="28" customFormat="1" ht="23.1" customHeight="1" spans="1:31">
      <c r="A28" s="250" t="s">
        <v>193</v>
      </c>
      <c r="B28" s="251" t="s">
        <v>194</v>
      </c>
      <c r="C28" s="252"/>
      <c r="D28" s="253"/>
      <c r="E28" s="254" t="s">
        <v>195</v>
      </c>
      <c r="F28" s="254">
        <v>3</v>
      </c>
      <c r="G28" s="254">
        <v>22</v>
      </c>
      <c r="H28" s="254">
        <v>45</v>
      </c>
      <c r="I28" s="254">
        <v>5</v>
      </c>
      <c r="J28" s="255">
        <f t="shared" si="0"/>
        <v>72</v>
      </c>
      <c r="K28" s="256"/>
      <c r="L28" s="257" t="s">
        <v>87</v>
      </c>
      <c r="M28" s="258"/>
      <c r="N28" s="258"/>
      <c r="O28" s="258"/>
      <c r="P28" s="258"/>
      <c r="Q28" s="259"/>
      <c r="R28" s="246"/>
      <c r="S28" s="258" t="s">
        <v>88</v>
      </c>
      <c r="T28" s="196"/>
      <c r="U28" s="195"/>
      <c r="V28" s="195"/>
      <c r="W28" s="195"/>
      <c r="X28" s="232" t="s">
        <v>89</v>
      </c>
      <c r="Y28" s="195"/>
      <c r="Z28" s="197"/>
      <c r="AA28" s="247"/>
      <c r="AB28" s="2"/>
      <c r="AC28" s="2"/>
      <c r="AD28" s="2"/>
      <c r="AE28" s="2"/>
    </row>
    <row r="29" customFormat="1" ht="23.1" customHeight="1" spans="1:31">
      <c r="A29" s="250" t="s">
        <v>196</v>
      </c>
      <c r="B29" s="251" t="s">
        <v>197</v>
      </c>
      <c r="C29" s="252"/>
      <c r="D29" s="253"/>
      <c r="E29" s="254" t="s">
        <v>195</v>
      </c>
      <c r="F29" s="254">
        <v>3</v>
      </c>
      <c r="G29" s="254">
        <v>22</v>
      </c>
      <c r="H29" s="254">
        <v>45</v>
      </c>
      <c r="I29" s="254">
        <v>5</v>
      </c>
      <c r="J29" s="255">
        <f t="shared" si="0"/>
        <v>72</v>
      </c>
      <c r="K29" s="256"/>
      <c r="L29" s="242"/>
      <c r="M29" s="195"/>
      <c r="N29" s="258"/>
      <c r="O29" s="196"/>
      <c r="P29" s="246"/>
      <c r="Q29" s="232"/>
      <c r="R29" s="246"/>
      <c r="S29" s="258" t="s">
        <v>93</v>
      </c>
      <c r="T29" s="196"/>
      <c r="U29" s="195"/>
      <c r="V29" s="195"/>
      <c r="W29" s="195"/>
      <c r="X29" s="232" t="s">
        <v>94</v>
      </c>
      <c r="Y29" s="195"/>
      <c r="Z29" s="197"/>
      <c r="AA29" s="247"/>
      <c r="AB29" s="2"/>
      <c r="AC29" s="2"/>
      <c r="AD29" s="2"/>
      <c r="AE29" s="2"/>
    </row>
    <row r="30" customFormat="1" ht="23.1" customHeight="1" spans="1:31">
      <c r="A30" s="260" t="s">
        <v>165</v>
      </c>
      <c r="B30" s="261" t="s">
        <v>198</v>
      </c>
      <c r="C30" s="262"/>
      <c r="D30" s="263"/>
      <c r="E30" s="264" t="s">
        <v>86</v>
      </c>
      <c r="F30" s="264">
        <v>5</v>
      </c>
      <c r="G30" s="264">
        <v>41</v>
      </c>
      <c r="H30" s="265">
        <v>29</v>
      </c>
      <c r="I30" s="265">
        <v>5</v>
      </c>
      <c r="J30" s="266">
        <f t="shared" si="0"/>
        <v>75</v>
      </c>
      <c r="K30" s="267"/>
      <c r="L30" s="242"/>
      <c r="M30" s="195"/>
      <c r="N30" s="268"/>
      <c r="O30" s="196"/>
      <c r="P30" s="246"/>
      <c r="Q30" s="232"/>
      <c r="R30" s="246"/>
      <c r="S30" s="232"/>
      <c r="T30" s="196"/>
      <c r="U30" s="195"/>
      <c r="V30" s="195"/>
      <c r="W30" s="195"/>
      <c r="X30" s="196"/>
      <c r="Y30" s="195"/>
      <c r="Z30" s="197"/>
      <c r="AA30" s="247"/>
      <c r="AB30" s="2"/>
      <c r="AC30" s="2"/>
      <c r="AD30" s="2"/>
      <c r="AE30" s="2"/>
    </row>
    <row r="31" customFormat="1" ht="23.1" customHeight="1" spans="1:31">
      <c r="A31" s="269" t="s">
        <v>84</v>
      </c>
      <c r="B31" s="270" t="s">
        <v>85</v>
      </c>
      <c r="C31" s="271"/>
      <c r="D31" s="272"/>
      <c r="E31" s="273" t="s">
        <v>86</v>
      </c>
      <c r="F31" s="274">
        <v>2</v>
      </c>
      <c r="G31" s="274">
        <v>18</v>
      </c>
      <c r="H31" s="273">
        <v>10</v>
      </c>
      <c r="I31" s="274">
        <v>2</v>
      </c>
      <c r="J31" s="275">
        <f t="shared" si="0"/>
        <v>30</v>
      </c>
      <c r="K31" s="276"/>
      <c r="L31" s="242"/>
      <c r="M31" s="195"/>
      <c r="N31" s="195"/>
      <c r="O31" s="195"/>
      <c r="P31" s="195"/>
      <c r="Q31" s="195"/>
      <c r="R31" s="195"/>
      <c r="S31" s="277"/>
      <c r="T31" s="196"/>
      <c r="U31" s="195"/>
      <c r="V31" s="195"/>
      <c r="W31" s="195"/>
      <c r="X31" s="268"/>
      <c r="Y31" s="195"/>
      <c r="Z31" s="197"/>
      <c r="AA31" s="247"/>
      <c r="AB31" s="2"/>
      <c r="AC31" s="2"/>
      <c r="AD31" s="2"/>
      <c r="AE31" s="2"/>
    </row>
    <row r="32" customFormat="1" ht="23.1" customHeight="1" spans="1:31">
      <c r="A32" s="278" t="s">
        <v>97</v>
      </c>
      <c r="B32" s="279" t="s">
        <v>98</v>
      </c>
      <c r="C32" s="280"/>
      <c r="D32" s="281"/>
      <c r="E32" s="282" t="s">
        <v>82</v>
      </c>
      <c r="F32" s="282">
        <v>2</v>
      </c>
      <c r="G32" s="282">
        <v>30</v>
      </c>
      <c r="H32" s="282">
        <v>15</v>
      </c>
      <c r="I32" s="282">
        <v>3</v>
      </c>
      <c r="J32" s="283">
        <f t="shared" si="0"/>
        <v>48</v>
      </c>
      <c r="K32" s="284"/>
      <c r="L32" s="242"/>
      <c r="M32" s="195"/>
      <c r="N32" s="195"/>
      <c r="O32" s="196"/>
      <c r="P32" s="195"/>
      <c r="Q32" s="268"/>
      <c r="R32" s="258"/>
      <c r="S32" s="195"/>
      <c r="T32" s="196"/>
      <c r="U32" s="258"/>
      <c r="V32" s="258"/>
      <c r="W32" s="268"/>
      <c r="X32" s="196"/>
      <c r="Y32" s="249"/>
      <c r="Z32" s="197"/>
      <c r="AA32" s="249"/>
      <c r="AB32" s="2"/>
      <c r="AC32" s="2"/>
      <c r="AD32" s="2"/>
      <c r="AE32" s="2"/>
    </row>
    <row r="33" customFormat="1" ht="23.1" customHeight="1" spans="1:31">
      <c r="A33" s="285" t="s">
        <v>199</v>
      </c>
      <c r="B33" s="286" t="s">
        <v>81</v>
      </c>
      <c r="C33" s="287"/>
      <c r="D33" s="288"/>
      <c r="E33" s="289" t="s">
        <v>82</v>
      </c>
      <c r="F33" s="289">
        <v>2</v>
      </c>
      <c r="G33" s="289">
        <v>30</v>
      </c>
      <c r="H33" s="289">
        <v>0</v>
      </c>
      <c r="I33" s="289">
        <v>3</v>
      </c>
      <c r="J33" s="290">
        <f t="shared" si="0"/>
        <v>33</v>
      </c>
      <c r="K33" s="291"/>
      <c r="L33" s="242"/>
      <c r="M33" s="268"/>
      <c r="N33" s="195"/>
      <c r="O33" s="258"/>
      <c r="P33" s="258"/>
      <c r="Q33" s="268"/>
      <c r="R33" s="232"/>
      <c r="S33" s="195"/>
      <c r="T33" s="196"/>
      <c r="U33" s="232"/>
      <c r="V33" s="232"/>
      <c r="W33" s="268"/>
      <c r="X33" s="196"/>
      <c r="Y33" s="232"/>
      <c r="Z33" s="197"/>
      <c r="AA33" s="232"/>
      <c r="AB33" s="2"/>
      <c r="AC33" s="2"/>
      <c r="AD33" s="2"/>
      <c r="AE33" s="2"/>
    </row>
    <row r="34" customFormat="1" ht="23.1" customHeight="1" spans="1:31">
      <c r="A34" s="260" t="s">
        <v>101</v>
      </c>
      <c r="B34" s="261" t="s">
        <v>102</v>
      </c>
      <c r="C34" s="262"/>
      <c r="D34" s="263"/>
      <c r="E34" s="264" t="s">
        <v>86</v>
      </c>
      <c r="F34" s="264">
        <v>1</v>
      </c>
      <c r="G34" s="264">
        <v>15</v>
      </c>
      <c r="H34" s="264">
        <v>4</v>
      </c>
      <c r="I34" s="264">
        <v>3</v>
      </c>
      <c r="J34" s="292">
        <f t="shared" si="0"/>
        <v>22</v>
      </c>
      <c r="K34" s="293"/>
      <c r="L34" s="242"/>
      <c r="M34" s="195"/>
      <c r="N34" s="195"/>
      <c r="O34" s="196"/>
      <c r="P34" s="195"/>
      <c r="Q34" s="195"/>
      <c r="R34" s="195"/>
      <c r="S34" s="196"/>
      <c r="T34" s="196"/>
      <c r="U34" s="277"/>
      <c r="V34" s="277"/>
      <c r="W34" s="268"/>
      <c r="X34" s="196"/>
      <c r="Y34" s="232"/>
      <c r="Z34" s="197"/>
      <c r="AA34" s="232"/>
      <c r="AB34" s="2"/>
      <c r="AC34" s="2"/>
      <c r="AD34" s="2"/>
      <c r="AE34" s="2"/>
    </row>
    <row r="35" customFormat="1" ht="23.1" customHeight="1" spans="1:31">
      <c r="A35" s="269" t="s">
        <v>103</v>
      </c>
      <c r="B35" s="270" t="s">
        <v>104</v>
      </c>
      <c r="C35" s="271"/>
      <c r="D35" s="272"/>
      <c r="E35" s="273" t="s">
        <v>82</v>
      </c>
      <c r="F35" s="274">
        <v>2</v>
      </c>
      <c r="G35" s="274">
        <v>30</v>
      </c>
      <c r="H35" s="294">
        <v>15</v>
      </c>
      <c r="I35" s="274">
        <v>10</v>
      </c>
      <c r="J35" s="273">
        <f t="shared" si="0"/>
        <v>55</v>
      </c>
      <c r="K35" s="276"/>
      <c r="L35" s="257" t="s">
        <v>105</v>
      </c>
      <c r="M35" s="258"/>
      <c r="N35" s="258"/>
      <c r="O35" s="258"/>
      <c r="P35" s="258"/>
      <c r="Q35" s="259"/>
      <c r="R35" s="195"/>
      <c r="S35" s="258" t="s">
        <v>106</v>
      </c>
      <c r="T35" s="196"/>
      <c r="U35" s="195"/>
      <c r="V35" s="195"/>
      <c r="W35" s="195"/>
      <c r="X35" s="258" t="s">
        <v>107</v>
      </c>
      <c r="Y35" s="195"/>
      <c r="Z35" s="197"/>
      <c r="AA35" s="196"/>
      <c r="AB35" s="2"/>
      <c r="AC35" s="2"/>
      <c r="AD35" s="2"/>
      <c r="AE35" s="2"/>
    </row>
    <row r="36" customFormat="1" ht="23.1" customHeight="1" spans="1:31">
      <c r="A36" s="295" t="s">
        <v>110</v>
      </c>
      <c r="B36" s="296" t="s">
        <v>200</v>
      </c>
      <c r="C36" s="297"/>
      <c r="D36" s="298"/>
      <c r="E36" s="299" t="s">
        <v>79</v>
      </c>
      <c r="F36" s="300">
        <v>1</v>
      </c>
      <c r="G36" s="300">
        <v>10</v>
      </c>
      <c r="H36" s="301">
        <v>16</v>
      </c>
      <c r="I36" s="300">
        <v>1</v>
      </c>
      <c r="J36" s="302">
        <f t="shared" si="0"/>
        <v>27</v>
      </c>
      <c r="K36" s="303"/>
      <c r="L36" s="242"/>
      <c r="M36" s="195"/>
      <c r="N36" s="258"/>
      <c r="O36" s="196"/>
      <c r="P36" s="195"/>
      <c r="Q36" s="195"/>
      <c r="R36" s="195"/>
      <c r="S36" s="196"/>
      <c r="T36" s="258"/>
      <c r="U36" s="195"/>
      <c r="V36" s="195"/>
      <c r="W36" s="195"/>
      <c r="X36" s="195"/>
      <c r="Y36" s="195"/>
      <c r="Z36" s="304"/>
      <c r="AA36" s="196"/>
      <c r="AB36" s="2"/>
      <c r="AC36" s="2"/>
      <c r="AD36" s="2"/>
      <c r="AE36" s="2"/>
    </row>
    <row r="37" customFormat="1" ht="23.1" customHeight="1" spans="1:31">
      <c r="A37" s="305" t="s">
        <v>112</v>
      </c>
      <c r="B37" s="306"/>
      <c r="C37" s="306"/>
      <c r="D37" s="306"/>
      <c r="E37" s="307"/>
      <c r="F37" s="308">
        <f>SUM(F26:F35)</f>
        <v>26</v>
      </c>
      <c r="G37" s="308">
        <f>SUM(G26:G35)</f>
        <v>272</v>
      </c>
      <c r="H37" s="308">
        <f>SUM(H26:H35)</f>
        <v>267</v>
      </c>
      <c r="I37" s="308">
        <f>SUM(I26:I35)</f>
        <v>48</v>
      </c>
      <c r="J37" s="308">
        <f>SUM(J26:J35)</f>
        <v>587</v>
      </c>
      <c r="K37" s="309"/>
      <c r="L37" s="192"/>
      <c r="M37" s="190"/>
      <c r="N37" s="310"/>
      <c r="O37" s="189"/>
      <c r="P37" s="190"/>
      <c r="Q37" s="190"/>
      <c r="R37" s="190"/>
      <c r="S37" s="190"/>
      <c r="T37" s="310"/>
      <c r="U37" s="190"/>
      <c r="V37" s="190"/>
      <c r="W37" s="190"/>
      <c r="X37" s="190"/>
      <c r="Y37" s="190"/>
      <c r="Z37" s="311"/>
      <c r="AA37" s="196"/>
      <c r="AB37" s="2"/>
      <c r="AC37" s="2"/>
      <c r="AD37" s="2"/>
      <c r="AE37" s="2"/>
    </row>
    <row r="38" customFormat="1" ht="22.5" spans="1:31">
      <c r="A38" s="196"/>
      <c r="B38" s="196"/>
      <c r="C38" s="196"/>
      <c r="D38" s="196"/>
      <c r="E38" s="196"/>
      <c r="F38" s="196"/>
      <c r="G38" s="196"/>
      <c r="H38" s="196"/>
      <c r="I38" s="195"/>
      <c r="J38" s="246"/>
      <c r="K38" s="196"/>
      <c r="L38" s="195"/>
      <c r="M38" s="195"/>
      <c r="O38" s="196"/>
      <c r="P38" s="195"/>
      <c r="Q38" s="195"/>
      <c r="R38" s="195"/>
      <c r="S38" s="195"/>
      <c r="U38" s="196"/>
      <c r="V38" s="196"/>
      <c r="W38" s="196"/>
      <c r="X38" s="196"/>
      <c r="Y38" s="196"/>
      <c r="AA38" s="196"/>
      <c r="AB38" s="2"/>
      <c r="AC38" s="2"/>
      <c r="AD38" s="2"/>
      <c r="AE38" s="2"/>
    </row>
    <row r="39" ht="18.75" spans="1:31">
      <c r="A39" s="312"/>
      <c r="B39" s="312"/>
      <c r="C39" s="312"/>
      <c r="D39" s="312"/>
      <c r="E39" s="312"/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</row>
    <row r="40" ht="18.75" spans="1:31">
      <c r="A40" s="312"/>
      <c r="B40" s="312"/>
      <c r="C40" s="312"/>
      <c r="D40" s="312"/>
      <c r="E40" s="312"/>
      <c r="F40" s="312"/>
      <c r="G40" s="312"/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</row>
    <row r="41" ht="18.75" spans="1:31">
      <c r="A41" s="312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</row>
    <row r="42" ht="18.75" spans="1:31">
      <c r="A42" s="312"/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</row>
    <row r="43" ht="18.75" spans="1:31">
      <c r="A43" s="312"/>
      <c r="B43" s="312"/>
      <c r="C43" s="312"/>
      <c r="D43" s="312"/>
      <c r="E43" s="312"/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</row>
    <row r="44" ht="18.75" spans="1:31">
      <c r="A44" s="312"/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</row>
    <row r="45" ht="18.75" spans="1:31">
      <c r="A45" s="312"/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3"/>
      <c r="R45" s="312"/>
      <c r="S45" s="312"/>
      <c r="T45" s="312"/>
      <c r="U45" s="312"/>
      <c r="V45" s="312"/>
      <c r="W45" s="312"/>
      <c r="X45" s="312"/>
      <c r="Y45" s="312"/>
    </row>
    <row r="46" ht="18.75" spans="1:31">
      <c r="A46" s="312"/>
      <c r="B46" s="312"/>
      <c r="C46" s="312"/>
      <c r="D46" s="312"/>
      <c r="E46" s="312"/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</row>
    <row r="47" ht="18.75" spans="1:31">
      <c r="A47" s="312"/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</row>
    <row r="48" ht="18.75" spans="1:31">
      <c r="A48" s="312"/>
      <c r="B48" s="312"/>
      <c r="C48" s="312"/>
      <c r="D48" s="312"/>
      <c r="E48" s="312"/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</row>
    <row r="49" ht="18.75" spans="1:25">
      <c r="A49" s="312"/>
      <c r="B49" s="312"/>
      <c r="C49" s="312"/>
      <c r="D49" s="312"/>
      <c r="E49" s="312"/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</row>
    <row r="50" ht="18.75" spans="1: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</row>
    <row r="51" ht="18.75" spans="1: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</row>
    <row r="52" ht="18.75" spans="1:25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</row>
    <row r="53" ht="18.75" spans="1:25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</row>
    <row r="54" ht="18.75" spans="1:25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</row>
    <row r="55" ht="18.75" spans="1:25">
      <c r="A55" s="312"/>
      <c r="B55" s="312"/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</row>
    <row r="56" ht="18.75" spans="1:25">
      <c r="A56" s="312"/>
      <c r="B56" s="312"/>
      <c r="C56" s="312"/>
      <c r="D56" s="312"/>
      <c r="E56" s="312"/>
      <c r="F56" s="312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</row>
    <row r="57" ht="18.75" spans="1:25">
      <c r="A57" s="312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</row>
    <row r="58" ht="18.75" spans="1:25">
      <c r="A58" s="312"/>
      <c r="B58" s="312"/>
      <c r="C58" s="312"/>
      <c r="D58" s="312"/>
      <c r="E58" s="312"/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</row>
    <row r="59" ht="18.75" spans="1:25">
      <c r="A59" s="312"/>
      <c r="B59" s="312"/>
      <c r="C59" s="312"/>
      <c r="D59" s="312"/>
      <c r="E59" s="312"/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</row>
    <row r="60" ht="18.75" spans="1:25">
      <c r="A60" s="312"/>
      <c r="B60" s="312"/>
      <c r="C60" s="312"/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</row>
    <row r="61" ht="18.75" spans="1:25">
      <c r="A61" s="312"/>
      <c r="B61" s="312"/>
      <c r="C61" s="312"/>
      <c r="D61" s="312"/>
      <c r="E61" s="312"/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</row>
    <row r="62" ht="18.75" spans="1:25">
      <c r="A62" s="312"/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</row>
    <row r="63" ht="18.75" spans="1:25">
      <c r="A63" s="312"/>
      <c r="B63" s="312"/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</row>
    <row r="64" ht="18.75" spans="1:25">
      <c r="A64" s="312"/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</row>
    <row r="65" ht="18.75" spans="1:25">
      <c r="A65" s="312"/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</row>
    <row r="66" ht="18.75" spans="1:25">
      <c r="A66" s="312"/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</row>
    <row r="67" ht="18.75" spans="1:25">
      <c r="A67" s="312"/>
      <c r="B67" s="312"/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</row>
    <row r="68" ht="18.75" spans="1:25">
      <c r="A68" s="312"/>
      <c r="B68" s="312"/>
      <c r="C68" s="312"/>
      <c r="D68" s="312"/>
      <c r="E68" s="312"/>
      <c r="F68" s="312"/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</row>
    <row r="69" ht="18.75" spans="1:25">
      <c r="A69" s="312"/>
      <c r="B69" s="312"/>
      <c r="C69" s="312"/>
      <c r="D69" s="312"/>
      <c r="E69" s="312"/>
      <c r="F69" s="312"/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</row>
    <row r="70" ht="18.75" spans="1:25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</row>
    <row r="71" ht="18.75" spans="1:25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</row>
    <row r="72" ht="18.75" spans="1:25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</row>
    <row r="73" ht="18.75" spans="1:25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</row>
    <row r="74" ht="18.75" spans="1:25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</row>
    <row r="75" ht="18.75" spans="1:25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</row>
    <row r="76" ht="18.75" spans="1:25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</row>
    <row r="77" ht="18.75" spans="1:25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</row>
    <row r="78" ht="18.75" spans="1:25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</row>
    <row r="79" ht="18.75" spans="1:25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</row>
    <row r="80" ht="18.75" spans="1:25">
      <c r="A80" s="312"/>
      <c r="B80" s="312"/>
      <c r="C80" s="312"/>
      <c r="D80" s="312"/>
      <c r="E80" s="312"/>
      <c r="F80" s="312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</row>
    <row r="81" ht="18.75" spans="1:25">
      <c r="A81" s="312"/>
      <c r="B81" s="312"/>
      <c r="C81" s="312"/>
      <c r="D81" s="312"/>
      <c r="E81" s="312"/>
      <c r="F81" s="312"/>
      <c r="G81" s="312"/>
      <c r="H81" s="312"/>
      <c r="I81" s="312"/>
      <c r="J81" s="312"/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</row>
    <row r="82" ht="18.75" spans="1:25">
      <c r="A82" s="312"/>
      <c r="B82" s="312"/>
      <c r="C82" s="312"/>
      <c r="D82" s="312"/>
      <c r="E82" s="312"/>
      <c r="F82" s="312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312"/>
      <c r="T82" s="312"/>
      <c r="U82" s="312"/>
      <c r="V82" s="312"/>
      <c r="W82" s="312"/>
      <c r="X82" s="312"/>
      <c r="Y82" s="312"/>
    </row>
    <row r="83" ht="18.75" spans="1:25">
      <c r="A83" s="312"/>
      <c r="B83" s="312"/>
      <c r="C83" s="312"/>
      <c r="D83" s="312"/>
      <c r="E83" s="312"/>
      <c r="F83" s="312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</row>
    <row r="84" ht="18.75" spans="1:25">
      <c r="A84" s="312"/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</row>
    <row r="85" ht="18.75" spans="1:25">
      <c r="A85" s="312"/>
      <c r="B85" s="312"/>
      <c r="C85" s="312"/>
      <c r="D85" s="312"/>
      <c r="E85" s="312"/>
      <c r="F85" s="312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</row>
    <row r="86" ht="18.75" spans="1:25">
      <c r="A86" s="312"/>
      <c r="B86" s="312"/>
      <c r="C86" s="312"/>
      <c r="D86" s="312"/>
      <c r="E86" s="312"/>
      <c r="F86" s="312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312"/>
      <c r="T86" s="312"/>
      <c r="U86" s="312"/>
      <c r="V86" s="312"/>
      <c r="W86" s="312"/>
      <c r="X86" s="312"/>
      <c r="Y86" s="312"/>
    </row>
    <row r="87" ht="18.75" spans="1:25">
      <c r="A87" s="312"/>
      <c r="B87" s="312"/>
      <c r="C87" s="312"/>
      <c r="D87" s="312"/>
      <c r="E87" s="312"/>
      <c r="F87" s="312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312"/>
      <c r="X87" s="312"/>
      <c r="Y87" s="312"/>
    </row>
    <row r="88" ht="18.75" spans="1:25">
      <c r="A88" s="312"/>
      <c r="B88" s="312"/>
      <c r="C88" s="312"/>
      <c r="D88" s="312"/>
      <c r="E88" s="312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</row>
    <row r="89" ht="18.75" spans="1:25">
      <c r="A89" s="312"/>
      <c r="B89" s="312"/>
      <c r="C89" s="312"/>
      <c r="D89" s="312"/>
      <c r="E89" s="312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</row>
    <row r="90" ht="18.75" spans="1:25">
      <c r="A90" s="312"/>
      <c r="B90" s="312"/>
      <c r="C90" s="312"/>
      <c r="D90" s="312"/>
      <c r="E90" s="312"/>
      <c r="F90" s="312"/>
      <c r="G90" s="312"/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</row>
    <row r="91" ht="18.75" spans="1:25">
      <c r="A91" s="312"/>
      <c r="B91" s="312"/>
      <c r="C91" s="312"/>
      <c r="D91" s="312"/>
      <c r="E91" s="312"/>
      <c r="F91" s="312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</row>
    <row r="92" ht="18.75" spans="1:25">
      <c r="A92" s="312"/>
      <c r="B92" s="312"/>
      <c r="C92" s="312"/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12"/>
      <c r="U92" s="312"/>
      <c r="V92" s="312"/>
      <c r="W92" s="312"/>
      <c r="X92" s="312"/>
      <c r="Y92" s="312"/>
    </row>
    <row r="93" ht="18.75" spans="1:25">
      <c r="A93" s="312"/>
      <c r="B93" s="312"/>
      <c r="C93" s="312"/>
      <c r="D93" s="312"/>
      <c r="E93" s="312"/>
      <c r="F93" s="312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</row>
    <row r="94" ht="18.75" spans="1:25">
      <c r="A94" s="312"/>
      <c r="B94" s="312"/>
      <c r="C94" s="312"/>
      <c r="D94" s="312"/>
      <c r="E94" s="312"/>
      <c r="F94" s="312"/>
      <c r="G94" s="312"/>
      <c r="H94" s="312"/>
      <c r="I94" s="312"/>
      <c r="J94" s="312"/>
      <c r="K94" s="312"/>
      <c r="L94" s="312"/>
      <c r="M94" s="312"/>
      <c r="N94" s="312"/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</row>
    <row r="95" ht="18.75" spans="1:25">
      <c r="A95" s="312"/>
      <c r="B95" s="312"/>
      <c r="C95" s="312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</row>
    <row r="96" ht="18.75" spans="1:25">
      <c r="A96" s="312"/>
      <c r="B96" s="312"/>
      <c r="C96" s="312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</row>
    <row r="97" ht="18.75" spans="1:25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</row>
    <row r="98" ht="18.75" spans="1:25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</row>
    <row r="99" ht="18.75" spans="1:25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</row>
    <row r="100" ht="18.75" spans="1:25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</row>
    <row r="101" ht="18.75" spans="1:25">
      <c r="A101" s="312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</row>
    <row r="102" ht="18.75" spans="1:25">
      <c r="A102" s="312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</row>
    <row r="103" ht="18.75" spans="1:25">
      <c r="A103" s="312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</row>
    <row r="104" ht="18.75" spans="1:25">
      <c r="A104" s="312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</row>
    <row r="105" ht="18.75" spans="1:25">
      <c r="A105" s="312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</row>
    <row r="106" ht="18.75" spans="1:25">
      <c r="A106" s="312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</row>
    <row r="107" ht="18.75" spans="1:25">
      <c r="A107" s="312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</row>
    <row r="108" ht="18.75" spans="1:25">
      <c r="A108" s="312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</row>
    <row r="109" ht="18.75" spans="1:25">
      <c r="A109" s="312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</row>
    <row r="110" ht="18.75" spans="1:25">
      <c r="A110" s="312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</row>
    <row r="111" ht="18.75" spans="1:25">
      <c r="A111" s="312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</row>
    <row r="112" ht="18.75" spans="1:25">
      <c r="A112" s="312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</row>
    <row r="113" ht="18.75" spans="1:25">
      <c r="A113" s="312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</row>
    <row r="114" ht="18.75" spans="1:25">
      <c r="A114" s="312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</row>
    <row r="115" ht="18.75" spans="1:25">
      <c r="A115" s="312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</row>
    <row r="116" ht="18.75" spans="1:25">
      <c r="A116" s="312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</row>
    <row r="117" ht="18.75" spans="1:25">
      <c r="A117" s="312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</row>
    <row r="118" ht="18.75" spans="1:25">
      <c r="A118" s="312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</row>
    <row r="119" ht="18.75" spans="1:25">
      <c r="A119" s="312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</row>
    <row r="120" ht="18.75" spans="1:25">
      <c r="A120" s="312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</row>
    <row r="121" ht="18.75" spans="1:25">
      <c r="A121" s="312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</row>
    <row r="122" ht="18.75" spans="1:25">
      <c r="A122" s="312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</row>
    <row r="123" ht="18.75" spans="1:25">
      <c r="A123" s="312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</row>
    <row r="124" ht="18.75" spans="1:25">
      <c r="A124" s="312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</row>
    <row r="125" ht="18.75" spans="1:25">
      <c r="A125" s="312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</row>
    <row r="126" ht="18.75" spans="1:25">
      <c r="A126" s="312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</row>
    <row r="127" ht="18.75" spans="1:25">
      <c r="A127" s="312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</row>
    <row r="128" ht="18.75" spans="1:25">
      <c r="A128" s="312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</row>
    <row r="129" ht="18.75" spans="1:25">
      <c r="A129" s="312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</row>
    <row r="130" ht="18.75" spans="1:25">
      <c r="A130" s="312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</row>
    <row r="131" ht="18.75" spans="1:25">
      <c r="A131" s="312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</row>
    <row r="132" ht="18.75" spans="1:25">
      <c r="A132" s="312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</row>
    <row r="133" ht="18.75" spans="1:25">
      <c r="A133" s="312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</row>
    <row r="134" ht="18.75" spans="1:25">
      <c r="A134" s="312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</row>
    <row r="135" ht="18.75" spans="1:25">
      <c r="A135" s="312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</row>
    <row r="136" ht="18.75" spans="1:25">
      <c r="A136" s="312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</row>
    <row r="137" ht="18.75" spans="1:25">
      <c r="A137" s="312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</row>
    <row r="138" ht="18.75" spans="1:25">
      <c r="A138" s="312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</row>
    <row r="139" ht="18.75" spans="1:25">
      <c r="A139" s="312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</row>
    <row r="140" ht="18.75" spans="1:25">
      <c r="A140" s="312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</row>
    <row r="141" ht="18.75" spans="1:25">
      <c r="A141" s="312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</row>
    <row r="142" ht="18.75" spans="1:25">
      <c r="A142" s="312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</row>
    <row r="143" ht="18.75" spans="1:25">
      <c r="A143" s="312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</row>
    <row r="144" ht="18.75" spans="1:25">
      <c r="A144" s="312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</row>
    <row r="145" ht="18.75" spans="1:25">
      <c r="A145" s="312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</row>
    <row r="146" ht="18.75" spans="1:25">
      <c r="A146" s="312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</row>
    <row r="147" ht="18.75" spans="1:25">
      <c r="A147" s="312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</row>
    <row r="148" ht="18.75" spans="1:25">
      <c r="A148" s="312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</row>
    <row r="149" ht="18.75" spans="1:25">
      <c r="A149" s="312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</row>
    <row r="150" ht="18.75" spans="1:25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</row>
    <row r="151" ht="18.75" spans="1:25">
      <c r="A151" s="312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</row>
    <row r="152" ht="18.75" spans="1:25">
      <c r="A152" s="312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</row>
    <row r="153" ht="18.75" spans="1:25">
      <c r="A153" s="312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</row>
    <row r="154" ht="18.75" spans="1:25">
      <c r="A154" s="312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</row>
    <row r="155" ht="18.75" spans="1:25">
      <c r="A155" s="312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</row>
    <row r="156" ht="18.75" spans="1:25">
      <c r="A156" s="312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</row>
    <row r="157" ht="18.75" spans="1:25">
      <c r="A157" s="312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</row>
    <row r="158" ht="18.75" spans="1:25">
      <c r="A158" s="312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</row>
    <row r="159" ht="18.75" spans="1:25">
      <c r="A159" s="312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</row>
    <row r="160" ht="18.75" spans="1:25">
      <c r="A160" s="312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</row>
    <row r="161" ht="18.75" spans="1:25">
      <c r="A161" s="312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</row>
    <row r="162" ht="18.75" spans="1:25">
      <c r="A162" s="312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</row>
    <row r="163" ht="18.75" spans="1:25">
      <c r="A163" s="312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</row>
    <row r="164" ht="18.75" spans="1:25">
      <c r="A164" s="312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</row>
    <row r="165" ht="18.75" spans="1:25">
      <c r="A165" s="312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</row>
    <row r="166" ht="18.75" spans="1:25">
      <c r="A166" s="312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</row>
    <row r="167" ht="18.75" spans="1:25">
      <c r="A167" s="312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</row>
    <row r="168" ht="18.75" spans="1:25">
      <c r="A168" s="312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</row>
    <row r="169" ht="18.75" spans="1:25">
      <c r="A169" s="312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</row>
    <row r="170" ht="18.75" spans="1:25">
      <c r="A170" s="312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</row>
    <row r="171" ht="18.75" spans="1:25">
      <c r="A171" s="312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</row>
    <row r="172" ht="18.75" spans="1:25">
      <c r="A172" s="312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</row>
    <row r="173" ht="18.75" spans="1:25">
      <c r="A173" s="312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</row>
    <row r="174" ht="18.75" spans="1:25">
      <c r="A174" s="312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</row>
    <row r="175" ht="18.75" spans="1:25">
      <c r="A175" s="312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</row>
    <row r="176" ht="18.75" spans="1:25">
      <c r="A176" s="312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</row>
    <row r="177" ht="18.75" spans="1:25">
      <c r="A177" s="312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</row>
    <row r="178" ht="18.75" spans="1:25">
      <c r="A178" s="312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</row>
    <row r="179" ht="18.75" spans="1:25">
      <c r="A179" s="312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</row>
    <row r="180" ht="18.75" spans="1:25">
      <c r="A180" s="312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</row>
    <row r="181" ht="18.75" spans="1:25">
      <c r="A181" s="312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</row>
    <row r="182" ht="18.75" spans="1:25">
      <c r="A182" s="312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</row>
    <row r="183" ht="18.75" spans="1:25">
      <c r="A183" s="312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</row>
    <row r="184" ht="18.75" spans="1:25">
      <c r="A184" s="312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</row>
    <row r="185" ht="18.75" spans="1:25">
      <c r="A185" s="312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</row>
    <row r="186" ht="18.75" spans="1:25">
      <c r="A186" s="312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</row>
    <row r="187" ht="18.75" spans="1:25">
      <c r="A187" s="312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</row>
    <row r="188" ht="18.75" spans="1:25">
      <c r="A188" s="312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</row>
    <row r="189" ht="18.75" spans="1:25">
      <c r="A189" s="312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</row>
    <row r="190" ht="18.75" spans="1:25">
      <c r="A190" s="312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</row>
    <row r="191" ht="18.75" spans="1:25">
      <c r="A191" s="312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</row>
    <row r="192" ht="18.75" spans="1:25">
      <c r="A192" s="312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</row>
    <row r="193" ht="18.75" spans="1:25">
      <c r="A193" s="312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</row>
    <row r="194" ht="18.75" spans="1:25">
      <c r="A194" s="312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</row>
    <row r="195" ht="18.75" spans="1:25">
      <c r="A195" s="312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</row>
    <row r="196" ht="18.75" spans="1:25">
      <c r="A196" s="312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</row>
    <row r="197" ht="18.75" spans="1:25">
      <c r="A197" s="312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</row>
    <row r="198" ht="18.75" spans="1:25">
      <c r="A198" s="312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</row>
    <row r="199" ht="18.75" spans="1:25">
      <c r="A199" s="312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</row>
    <row r="200" ht="18.75" spans="1:25">
      <c r="A200" s="312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</row>
    <row r="201" ht="18.75" spans="1:25">
      <c r="A201" s="312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</row>
    <row r="202" ht="18.75" spans="1:25">
      <c r="A202" s="312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</row>
    <row r="203" ht="18.75" spans="1:25">
      <c r="A203" s="312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</row>
    <row r="204" ht="18.75" spans="1:25">
      <c r="A204" s="312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</row>
    <row r="205" ht="18.75" spans="1:25">
      <c r="A205" s="312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</row>
    <row r="206" ht="18.75" spans="1:25">
      <c r="A206" s="312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</row>
    <row r="207" ht="18.75" spans="1:25">
      <c r="A207" s="312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</row>
    <row r="208" ht="18.75" spans="1:25">
      <c r="A208" s="312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</row>
  </sheetData>
  <mergeCells count="46">
    <mergeCell ref="I1:T1"/>
    <mergeCell ref="I2:T2"/>
    <mergeCell ref="C7:F7"/>
    <mergeCell ref="G7:J7"/>
    <mergeCell ref="K7:O7"/>
    <mergeCell ref="P7:S7"/>
    <mergeCell ref="T7:X7"/>
    <mergeCell ref="Y7:Z7"/>
    <mergeCell ref="AC11:AD11"/>
    <mergeCell ref="AC12:AF12"/>
    <mergeCell ref="AC13:AF13"/>
    <mergeCell ref="AC14:AF14"/>
    <mergeCell ref="A22:B22"/>
    <mergeCell ref="C22:Z22"/>
    <mergeCell ref="G24:J24"/>
    <mergeCell ref="B26:D26"/>
    <mergeCell ref="B27:D27"/>
    <mergeCell ref="B28:D28"/>
    <mergeCell ref="L28:P28"/>
    <mergeCell ref="B29:D29"/>
    <mergeCell ref="B30:D30"/>
    <mergeCell ref="B31:D31"/>
    <mergeCell ref="B32:D32"/>
    <mergeCell ref="B33:D33"/>
    <mergeCell ref="B34:D34"/>
    <mergeCell ref="B35:D35"/>
    <mergeCell ref="L35:P35"/>
    <mergeCell ref="B36:D36"/>
    <mergeCell ref="A37:E37"/>
    <mergeCell ref="A7:A9"/>
    <mergeCell ref="A10:A11"/>
    <mergeCell ref="A12:A13"/>
    <mergeCell ref="A14:A15"/>
    <mergeCell ref="A16:A17"/>
    <mergeCell ref="A18:A19"/>
    <mergeCell ref="A24:A25"/>
    <mergeCell ref="E24:E25"/>
    <mergeCell ref="F24:F25"/>
    <mergeCell ref="K10:K11"/>
    <mergeCell ref="K16:K17"/>
    <mergeCell ref="K18:K19"/>
    <mergeCell ref="K24:K25"/>
    <mergeCell ref="V16:V17"/>
    <mergeCell ref="A1:H2"/>
    <mergeCell ref="W10:Z19"/>
    <mergeCell ref="B24:D25"/>
  </mergeCells>
  <pageMargins left="0.28" right="0.7" top="0.35" bottom="0.31" header="0.3" footer="0.3"/>
  <pageSetup paperSize="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YS1B1</vt:lpstr>
      <vt:lpstr>D2B1</vt:lpstr>
      <vt:lpstr>ĐD2B1</vt:lpstr>
      <vt:lpstr>ĐD2B2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Luong Quoc Dong (FPL HCM)</cp:lastModifiedBy>
  <dcterms:created xsi:type="dcterms:W3CDTF">2006-09-16T00:00:00Z</dcterms:created>
  <dcterms:modified xsi:type="dcterms:W3CDTF">2026-07-23T11:44:45Z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78A4962CF23F49A983FC7984E008ABA2_12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