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4280" windowHeight="7500"/>
  </bookViews>
  <sheets>
    <sheet name="K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<sst xmlns="http://schemas.openxmlformats.org/spreadsheetml/2006/main" count="119" uniqueCount="77">
  <si>
    <t>TỔNG CỤC HẬU CẦN - KỸ THUẬT
TRƯỜNG CAO ĐẲNG HẬU CẦN 2</t>
  </si>
  <si>
    <t>LỊCH HUẤN LUYỆN</t>
  </si>
  <si>
    <t>Học kỳ 2 năm học 2025-2026</t>
  </si>
  <si>
    <t>Lớp: Lớp K1</t>
  </si>
  <si>
    <t>Từ 22/06/2026 đến 16/08/2026</t>
  </si>
  <si>
    <t>Kính gửi:…………………………………………………..</t>
  </si>
  <si>
    <t>Thứ</t>
  </si>
  <si>
    <t>Tháng</t>
  </si>
  <si>
    <t>Tuần</t>
  </si>
  <si>
    <t xml:space="preserve">Ngày   </t>
  </si>
  <si>
    <t>22 - 28</t>
  </si>
  <si>
    <t>29 - 05</t>
  </si>
  <si>
    <t>13 - 19</t>
  </si>
  <si>
    <t>20 - 26</t>
  </si>
  <si>
    <t>27 - 02</t>
  </si>
  <si>
    <t xml:space="preserve">  Tiết</t>
  </si>
  <si>
    <t>1 ÷ 5</t>
  </si>
  <si>
    <t>6 ÷ 9</t>
  </si>
  <si>
    <t>ĐL</t>
  </si>
  <si>
    <t>THML (TH)</t>
  </si>
  <si>
    <t>KTCTHML</t>
  </si>
  <si>
    <t>GPSL (TH)</t>
  </si>
  <si>
    <t>MP</t>
  </si>
  <si>
    <t>HS</t>
  </si>
  <si>
    <t>VSVKST</t>
  </si>
  <si>
    <t>DH (TH)</t>
  </si>
  <si>
    <t>CNXHKH</t>
  </si>
  <si>
    <t>HLTL (TH)</t>
  </si>
  <si>
    <t>QSC</t>
  </si>
  <si>
    <t>HLTL</t>
  </si>
  <si>
    <t>TCYSĐK</t>
  </si>
  <si>
    <t>Ghi chú:</t>
  </si>
  <si>
    <t>Các khoa xây dựng phân công giảng dạy gửi về Phòng Đào tạo theo lịch này. Ô tô màu theo môn (màu nhận diện môn).</t>
  </si>
  <si>
    <t>Mã</t>
  </si>
  <si>
    <t>TÊN MÔN HỌC</t>
  </si>
  <si>
    <t>KHOA</t>
  </si>
  <si>
    <t>TÍN CHỈ</t>
  </si>
  <si>
    <t>Thời gian học tập (giờ)</t>
  </si>
  <si>
    <t>Ghi chú</t>
  </si>
  <si>
    <t>KÝ HIỆU CHUNG:</t>
  </si>
  <si>
    <t>LT</t>
  </si>
  <si>
    <t>TH</t>
  </si>
  <si>
    <t>Thi</t>
  </si>
  <si>
    <t>Tổng</t>
  </si>
  <si>
    <t>SHCB: Sinh hoạt chi bộ</t>
  </si>
  <si>
    <t>M005K1</t>
  </si>
  <si>
    <t>Điều lệnh</t>
  </si>
  <si>
    <t>K1</t>
  </si>
  <si>
    <t>M014K2</t>
  </si>
  <si>
    <t>Triết học Mác - Lênin</t>
  </si>
  <si>
    <t>K2</t>
  </si>
  <si>
    <t>M015K2</t>
  </si>
  <si>
    <t>Kinh tế chính trị học Mác - Lênin</t>
  </si>
  <si>
    <t>M035K4</t>
  </si>
  <si>
    <t>Giải phẫu - Sinh lý</t>
  </si>
  <si>
    <t>K4</t>
  </si>
  <si>
    <t>M032K4</t>
  </si>
  <si>
    <t>Mô phôi</t>
  </si>
  <si>
    <t>M033K4</t>
  </si>
  <si>
    <t>Hóa sinh</t>
  </si>
  <si>
    <t>M029K4</t>
  </si>
  <si>
    <t>Vi sinh vật - Ký sinh trùng</t>
  </si>
  <si>
    <t>M097K8</t>
  </si>
  <si>
    <t>Dược học</t>
  </si>
  <si>
    <t>K8</t>
  </si>
  <si>
    <t>M016K2</t>
  </si>
  <si>
    <t>Chủ nghĩa xã hội khoa học</t>
  </si>
  <si>
    <t>M003K1</t>
  </si>
  <si>
    <t>Huấn luyện thể lực</t>
  </si>
  <si>
    <t>M002K1</t>
  </si>
  <si>
    <t>Quân sự chung</t>
  </si>
  <si>
    <t>DDTC</t>
  </si>
  <si>
    <t>Trung cấp y sĩ đa khoa</t>
  </si>
  <si>
    <t>Tổng số</t>
  </si>
  <si>
    <t>NGƯỜI LÀM LỊCH</t>
  </si>
  <si>
    <t>KT. TRƯỞNG PHÒNG</t>
  </si>
  <si>
    <t>PHÓ TRƯỞNG PHÒNG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</si>
</sst>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b/>
      <sz val="16"/>
      <color rgb="FF000000"/>
      <name val="Calibri"/>
      <charset val="134"/>
    </font>
    <font>
      <b/>
      <sz val="11"/>
      <color theme="1"/>
      <name val="Calibri"/>
      <charset val="134"/>
      <scheme val="minor"/>
    </font>
    <font>
      <b/>
      <sz val="9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358FEE"/>
        <bgColor rgb="FF000000"/>
      </patternFill>
    </fill>
    <fill>
      <patternFill patternType="solid">
        <fgColor rgb="FF9DC3E6"/>
        <bgColor rgb="FF000000"/>
      </patternFill>
    </fill>
    <fill>
      <patternFill patternType="solid">
        <fgColor rgb="FF5B9BD5"/>
        <bgColor rgb="FF000000"/>
      </patternFill>
    </fill>
    <fill>
      <patternFill patternType="solid">
        <fgColor rgb="FFED7D31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rgb="FF4EA1FF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12" borderId="1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3" borderId="16" applyNumberFormat="0" applyAlignment="0" applyProtection="0">
      <alignment vertical="center"/>
    </xf>
    <xf numFmtId="0" fontId="15" fillId="14" borderId="17" applyNumberFormat="0" applyAlignment="0" applyProtection="0">
      <alignment vertical="center"/>
    </xf>
    <xf numFmtId="0" fontId="16" fillId="14" borderId="16" applyNumberFormat="0" applyAlignment="0" applyProtection="0">
      <alignment vertical="center"/>
    </xf>
    <xf numFmtId="0" fontId="17" fillId="15" borderId="18" applyNumberFormat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</cellStyleXfs>
  <cellXfs count="3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/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right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16" fontId="1" fillId="2" borderId="7" xfId="0" applyNumberFormat="1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left" vertical="center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center" vertical="center" wrapText="1"/>
    </xf>
    <xf numFmtId="0" fontId="4" fillId="10" borderId="4" xfId="0" applyFont="1" applyFill="1" applyBorder="1" applyAlignment="1">
      <alignment horizontal="center" vertical="center" wrapText="1"/>
    </xf>
    <xf numFmtId="0" fontId="4" fillId="11" borderId="4" xfId="0" applyFont="1" applyFill="1" applyBorder="1" applyAlignment="1">
      <alignment horizontal="center" vertical="center" wrapText="1"/>
    </xf>
    <xf numFmtId="0" fontId="1" fillId="0" borderId="4" xfId="0" applyFont="1" applyBorder="1"/>
    <xf numFmtId="0" fontId="1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12057</xdr:colOff>
      <xdr:row>8</xdr:row>
      <xdr:rowOff>12057</xdr:rowOff>
    </xdr:from>
    <xdr:to>
      <xdr:col>1</xdr:col>
      <xdr:colOff>940443</xdr:colOff>
      <xdr:row>10</xdr:row>
      <xdr:rowOff>0</xdr:rowOff>
    </xdr:to>
    <xdr:cxnSp>
      <xdr:nvCxnSpPr>
        <xdr:cNvPr id="14" name="Straight Connector 13"/>
        <xdr:cNvCxnSpPr/>
      </xdr:nvCxnSpPr>
      <xdr:spPr>
        <a:xfrm>
          <a:off x="544830" y="2221230"/>
          <a:ext cx="655320" cy="75057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12057</xdr:colOff>
      <xdr:row>8</xdr:row>
      <xdr:rowOff>12057</xdr:rowOff>
    </xdr:from>
    <xdr:to>
      <xdr:col>1</xdr:col>
      <xdr:colOff>940443</xdr:colOff>
      <xdr:row>10</xdr:row>
      <xdr:rowOff>0</xdr:rowOff>
    </xdr:to>
    <xdr:cxnSp>
      <xdr:nvCxnSpPr>
        <xdr:cNvPr id="15" name="Straight Connector 14"/>
        <xdr:cNvCxnSpPr/>
      </xdr:nvCxnSpPr>
      <xdr:spPr>
        <a:xfrm>
          <a:off x="544830" y="2221230"/>
          <a:ext cx="655320" cy="75057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12057</xdr:colOff>
      <xdr:row>8</xdr:row>
      <xdr:rowOff>12057</xdr:rowOff>
    </xdr:from>
    <xdr:to>
      <xdr:col>1</xdr:col>
      <xdr:colOff>940443</xdr:colOff>
      <xdr:row>10</xdr:row>
      <xdr:rowOff>0</xdr:rowOff>
    </xdr:to>
    <xdr:cxnSp>
      <xdr:nvCxnSpPr>
        <xdr:cNvPr id="16" name="Straight Connector 15"/>
        <xdr:cNvCxnSpPr/>
      </xdr:nvCxnSpPr>
      <xdr:spPr>
        <a:xfrm>
          <a:off x="544830" y="2221230"/>
          <a:ext cx="655320" cy="75057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12057</xdr:colOff>
      <xdr:row>8</xdr:row>
      <xdr:rowOff>12057</xdr:rowOff>
    </xdr:from>
    <xdr:to>
      <xdr:col>1</xdr:col>
      <xdr:colOff>940443</xdr:colOff>
      <xdr:row>10</xdr:row>
      <xdr:rowOff>0</xdr:rowOff>
    </xdr:to>
    <xdr:cxnSp>
      <xdr:nvCxnSpPr>
        <xdr:cNvPr id="17" name="Straight Connector 16"/>
        <xdr:cNvCxnSpPr/>
      </xdr:nvCxnSpPr>
      <xdr:spPr>
        <a:xfrm>
          <a:off x="544830" y="2221230"/>
          <a:ext cx="655320" cy="75057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12057</xdr:colOff>
      <xdr:row>8</xdr:row>
      <xdr:rowOff>12057</xdr:rowOff>
    </xdr:from>
    <xdr:to>
      <xdr:col>1</xdr:col>
      <xdr:colOff>940443</xdr:colOff>
      <xdr:row>10</xdr:row>
      <xdr:rowOff>0</xdr:rowOff>
    </xdr:to>
    <xdr:cxnSp>
      <xdr:nvCxnSpPr>
        <xdr:cNvPr id="18" name="Straight Connector 17"/>
        <xdr:cNvCxnSpPr/>
      </xdr:nvCxnSpPr>
      <xdr:spPr>
        <a:xfrm>
          <a:off x="544830" y="2221230"/>
          <a:ext cx="655320" cy="75057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12057</xdr:colOff>
      <xdr:row>8</xdr:row>
      <xdr:rowOff>12057</xdr:rowOff>
    </xdr:from>
    <xdr:to>
      <xdr:col>1</xdr:col>
      <xdr:colOff>940443</xdr:colOff>
      <xdr:row>10</xdr:row>
      <xdr:rowOff>0</xdr:rowOff>
    </xdr:to>
    <xdr:cxnSp>
      <xdr:nvCxnSpPr>
        <xdr:cNvPr id="19" name="Straight Connector 18"/>
        <xdr:cNvCxnSpPr/>
      </xdr:nvCxnSpPr>
      <xdr:spPr>
        <a:xfrm>
          <a:off x="544830" y="2221230"/>
          <a:ext cx="655320" cy="75057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12057</xdr:colOff>
      <xdr:row>8</xdr:row>
      <xdr:rowOff>12057</xdr:rowOff>
    </xdr:from>
    <xdr:to>
      <xdr:col>1</xdr:col>
      <xdr:colOff>940443</xdr:colOff>
      <xdr:row>10</xdr:row>
      <xdr:rowOff>0</xdr:rowOff>
    </xdr:to>
    <xdr:cxnSp>
      <xdr:nvCxnSpPr>
        <xdr:cNvPr id="20" name="Straight Connector 19"/>
        <xdr:cNvCxnSpPr/>
      </xdr:nvCxnSpPr>
      <xdr:spPr>
        <a:xfrm>
          <a:off x="544830" y="2221230"/>
          <a:ext cx="655320" cy="75057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12057</xdr:colOff>
      <xdr:row>8</xdr:row>
      <xdr:rowOff>12057</xdr:rowOff>
    </xdr:from>
    <xdr:to>
      <xdr:col>1</xdr:col>
      <xdr:colOff>940443</xdr:colOff>
      <xdr:row>10</xdr:row>
      <xdr:rowOff>0</xdr:rowOff>
    </xdr:to>
    <xdr:cxnSp>
      <xdr:nvCxnSpPr>
        <xdr:cNvPr id="21" name="Straight Connector 20"/>
        <xdr:cNvCxnSpPr/>
      </xdr:nvCxnSpPr>
      <xdr:spPr>
        <a:xfrm>
          <a:off x="544830" y="2221230"/>
          <a:ext cx="655320" cy="75057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12057</xdr:colOff>
      <xdr:row>8</xdr:row>
      <xdr:rowOff>12057</xdr:rowOff>
    </xdr:from>
    <xdr:to>
      <xdr:col>1</xdr:col>
      <xdr:colOff>940443</xdr:colOff>
      <xdr:row>10</xdr:row>
      <xdr:rowOff>0</xdr:rowOff>
    </xdr:to>
    <xdr:cxnSp>
      <xdr:nvCxnSpPr>
        <xdr:cNvPr id="22" name="Straight Connector 21"/>
        <xdr:cNvCxnSpPr/>
      </xdr:nvCxnSpPr>
      <xdr:spPr>
        <a:xfrm>
          <a:off x="544830" y="2221230"/>
          <a:ext cx="655320" cy="75057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0</xdr:colOff>
      <xdr:row>7</xdr:row>
      <xdr:rowOff>0</xdr:rowOff>
    </xdr:from>
    <xdr:to>
      <xdr:col>14</xdr:col>
      <xdr:colOff>476250</xdr:colOff>
      <xdr:row>13</xdr:row>
      <xdr:rowOff>9525</xdr:rowOff>
    </xdr:to>
    <xdr:pic>
      <xdr:nvPicPr>
        <xdr:cNvPr id="23" name="Picture 2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67625" y="1981200"/>
          <a:ext cx="2276475" cy="23717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R41"/>
  <sheetViews>
    <sheetView tabSelected="1" zoomScale="85" zoomScaleNormal="85" topLeftCell="A2" workbookViewId="0">
      <selection activeCell="N14" sqref="N14"/>
    </sheetView>
  </sheetViews>
  <sheetFormatPr defaultColWidth="9" defaultRowHeight="18" customHeight="1"/>
  <cols>
    <col min="1" max="1" width="8" customWidth="1"/>
    <col min="2" max="2" width="10" customWidth="1"/>
    <col min="3" max="10" width="11" customWidth="1"/>
  </cols>
  <sheetData>
    <row r="1" ht="40" customHeight="1" spans="1:10">
      <c r="A1" s="1" t="s">
        <v>0</v>
      </c>
      <c r="B1" s="1"/>
      <c r="C1" s="2" t="s">
        <v>1</v>
      </c>
      <c r="D1" s="1"/>
      <c r="E1" s="1"/>
      <c r="F1" s="1"/>
      <c r="G1" s="1"/>
      <c r="H1" s="1"/>
      <c r="I1" s="1"/>
      <c r="J1" s="1"/>
    </row>
    <row r="2" ht="22" customHeight="1" spans="1:10">
      <c r="A2" s="1"/>
      <c r="B2" s="1"/>
      <c r="C2" s="1" t="s">
        <v>2</v>
      </c>
      <c r="D2" s="1"/>
      <c r="E2" s="1"/>
      <c r="F2" s="1"/>
      <c r="G2" s="1"/>
      <c r="H2" s="1"/>
      <c r="I2" s="1"/>
      <c r="J2" s="1"/>
    </row>
    <row r="3" spans="1:10">
      <c r="A3" s="3" t="s">
        <v>3</v>
      </c>
    </row>
    <row r="4" spans="1:10">
      <c r="A4" s="3" t="s">
        <v>4</v>
      </c>
    </row>
    <row r="5" spans="1:10">
      <c r="A5" s="4" t="s">
        <v>5</v>
      </c>
      <c r="B5" s="5"/>
      <c r="C5" s="5"/>
      <c r="D5" s="5"/>
      <c r="E5" s="5"/>
      <c r="F5" s="5"/>
      <c r="G5" s="5"/>
      <c r="H5" s="5"/>
      <c r="I5" s="5"/>
      <c r="J5" s="5"/>
    </row>
    <row r="7" ht="22" customHeight="1" spans="1:10">
      <c r="A7" s="6" t="s">
        <v>6</v>
      </c>
      <c r="B7" s="7" t="s">
        <v>7</v>
      </c>
      <c r="C7" s="8">
        <v>6</v>
      </c>
      <c r="D7" s="9"/>
      <c r="E7" s="9">
        <v>7</v>
      </c>
      <c r="F7" s="9"/>
      <c r="G7" s="9"/>
      <c r="H7" s="9"/>
      <c r="I7" s="9">
        <v>8</v>
      </c>
      <c r="J7" s="9"/>
    </row>
    <row r="8" customHeight="1" spans="1:10">
      <c r="A8" s="6"/>
      <c r="B8" s="10" t="s">
        <v>8</v>
      </c>
      <c r="C8" s="8">
        <v>1</v>
      </c>
      <c r="D8" s="9">
        <v>2</v>
      </c>
      <c r="E8" s="9">
        <v>3</v>
      </c>
      <c r="F8" s="9">
        <v>4</v>
      </c>
      <c r="G8" s="9">
        <v>5</v>
      </c>
      <c r="H8" s="9">
        <v>6</v>
      </c>
      <c r="I8" s="9">
        <v>7</v>
      </c>
      <c r="J8" s="9">
        <v>8</v>
      </c>
    </row>
    <row r="9" ht="30" customHeight="1" spans="1:10">
      <c r="A9" s="6"/>
      <c r="B9" s="11" t="s">
        <v>9</v>
      </c>
      <c r="C9" s="12" t="s">
        <v>10</v>
      </c>
      <c r="D9" s="13" t="s">
        <v>11</v>
      </c>
      <c r="E9" s="14">
        <v>46185</v>
      </c>
      <c r="F9" s="13" t="s">
        <v>12</v>
      </c>
      <c r="G9" s="13" t="s">
        <v>13</v>
      </c>
      <c r="H9" s="13" t="s">
        <v>14</v>
      </c>
      <c r="I9" s="14">
        <v>46090</v>
      </c>
      <c r="J9" s="14">
        <v>46311</v>
      </c>
    </row>
    <row r="10" ht="30" customHeight="1" spans="1:10">
      <c r="A10" s="15"/>
      <c r="B10" s="16" t="s">
        <v>15</v>
      </c>
      <c r="C10" s="17"/>
      <c r="D10" s="18"/>
      <c r="E10" s="18"/>
      <c r="F10" s="18"/>
      <c r="G10" s="18"/>
      <c r="H10" s="18"/>
      <c r="I10" s="18"/>
      <c r="J10" s="18"/>
    </row>
    <row r="11" ht="36" customHeight="1" spans="1:10">
      <c r="A11" s="19">
        <v>2</v>
      </c>
      <c r="B11" s="20" t="s">
        <v>16</v>
      </c>
      <c r="C11" s="21"/>
      <c r="D11" s="21"/>
      <c r="E11" s="21"/>
      <c r="F11" s="21"/>
      <c r="G11" s="21"/>
      <c r="H11" s="21"/>
      <c r="I11" s="21"/>
      <c r="J11" s="21"/>
    </row>
    <row r="12" ht="36" customHeight="1" spans="1:10">
      <c r="A12" s="22"/>
      <c r="B12" s="22" t="s">
        <v>17</v>
      </c>
      <c r="C12" s="23" t="s">
        <v>18</v>
      </c>
      <c r="D12" s="24" t="s">
        <v>19</v>
      </c>
      <c r="E12" s="25" t="s">
        <v>20</v>
      </c>
      <c r="F12" s="24" t="s">
        <v>21</v>
      </c>
      <c r="G12" s="26" t="s">
        <v>22</v>
      </c>
      <c r="H12" s="27" t="s">
        <v>23</v>
      </c>
      <c r="I12" s="28" t="s">
        <v>24</v>
      </c>
      <c r="J12" s="29" t="s">
        <v>25</v>
      </c>
    </row>
    <row r="13" ht="36" customHeight="1" spans="1:10">
      <c r="A13" s="19">
        <v>3</v>
      </c>
      <c r="B13" s="22" t="s">
        <v>16</v>
      </c>
      <c r="C13" s="21"/>
      <c r="D13" s="21"/>
      <c r="E13" s="21"/>
      <c r="F13" s="21"/>
      <c r="G13" s="21"/>
      <c r="H13" s="21"/>
      <c r="I13" s="21"/>
      <c r="J13" s="21"/>
    </row>
    <row r="14" ht="36" customHeight="1" spans="1:10">
      <c r="A14" s="22"/>
      <c r="B14" s="22" t="s">
        <v>17</v>
      </c>
      <c r="C14" s="24" t="s">
        <v>19</v>
      </c>
      <c r="D14" s="25" t="s">
        <v>20</v>
      </c>
      <c r="E14" s="24" t="s">
        <v>21</v>
      </c>
      <c r="F14" s="26" t="s">
        <v>22</v>
      </c>
      <c r="G14" s="27" t="s">
        <v>23</v>
      </c>
      <c r="H14" s="28" t="s">
        <v>24</v>
      </c>
      <c r="I14" s="29" t="s">
        <v>25</v>
      </c>
      <c r="J14" s="27" t="s">
        <v>26</v>
      </c>
    </row>
    <row r="15" ht="36" customHeight="1" spans="1:10">
      <c r="A15" s="19">
        <v>4</v>
      </c>
      <c r="B15" s="22" t="s">
        <v>16</v>
      </c>
      <c r="C15" s="21"/>
      <c r="D15" s="21"/>
      <c r="E15" s="21"/>
      <c r="F15" s="21"/>
      <c r="G15" s="21"/>
      <c r="H15" s="21"/>
      <c r="I15" s="21"/>
      <c r="J15" s="21"/>
    </row>
    <row r="16" ht="36" customHeight="1" spans="1:10">
      <c r="A16" s="22"/>
      <c r="B16" s="22" t="s">
        <v>17</v>
      </c>
      <c r="C16" s="25" t="s">
        <v>20</v>
      </c>
      <c r="D16" s="24" t="s">
        <v>21</v>
      </c>
      <c r="E16" s="26" t="s">
        <v>22</v>
      </c>
      <c r="F16" s="27" t="s">
        <v>23</v>
      </c>
      <c r="G16" s="28" t="s">
        <v>24</v>
      </c>
      <c r="H16" s="29" t="s">
        <v>25</v>
      </c>
      <c r="I16" s="27" t="s">
        <v>26</v>
      </c>
      <c r="J16" s="29" t="s">
        <v>27</v>
      </c>
    </row>
    <row r="17" ht="36" customHeight="1" spans="1:14">
      <c r="A17" s="19">
        <v>5</v>
      </c>
      <c r="B17" s="22" t="s">
        <v>16</v>
      </c>
      <c r="C17" s="21"/>
      <c r="D17" s="21"/>
      <c r="E17" s="21"/>
      <c r="F17" s="21"/>
      <c r="G17" s="21"/>
      <c r="H17" s="21"/>
      <c r="I17" s="21"/>
      <c r="J17" s="21"/>
    </row>
    <row r="18" ht="36" customHeight="1" spans="1:14">
      <c r="A18" s="22"/>
      <c r="B18" s="22" t="s">
        <v>17</v>
      </c>
      <c r="C18" s="24" t="s">
        <v>21</v>
      </c>
      <c r="D18" s="26" t="s">
        <v>22</v>
      </c>
      <c r="E18" s="27" t="s">
        <v>23</v>
      </c>
      <c r="F18" s="28" t="s">
        <v>24</v>
      </c>
      <c r="G18" s="29" t="s">
        <v>25</v>
      </c>
      <c r="H18" s="27" t="s">
        <v>26</v>
      </c>
      <c r="I18" s="29" t="s">
        <v>27</v>
      </c>
      <c r="J18" s="30" t="s">
        <v>28</v>
      </c>
    </row>
    <row r="19" ht="36" customHeight="1" spans="1:14">
      <c r="A19" s="19">
        <v>6</v>
      </c>
      <c r="B19" s="22" t="s">
        <v>16</v>
      </c>
      <c r="C19" s="21"/>
      <c r="D19" s="21"/>
      <c r="E19" s="21"/>
      <c r="F19" s="21"/>
      <c r="G19" s="21"/>
      <c r="H19" s="21"/>
      <c r="I19" s="21"/>
      <c r="J19" s="21"/>
    </row>
    <row r="20" ht="36" customHeight="1" spans="1:14">
      <c r="A20" s="22"/>
      <c r="B20" s="22" t="s">
        <v>17</v>
      </c>
      <c r="C20" s="26" t="s">
        <v>22</v>
      </c>
      <c r="D20" s="27" t="s">
        <v>23</v>
      </c>
      <c r="E20" s="28" t="s">
        <v>24</v>
      </c>
      <c r="F20" s="29" t="s">
        <v>25</v>
      </c>
      <c r="G20" s="27" t="s">
        <v>26</v>
      </c>
      <c r="H20" s="29" t="s">
        <v>29</v>
      </c>
      <c r="I20" s="30" t="s">
        <v>28</v>
      </c>
      <c r="J20" s="31" t="s">
        <v>30</v>
      </c>
    </row>
    <row r="22" spans="1:14">
      <c r="A22" s="3" t="s">
        <v>31</v>
      </c>
      <c r="C22" t="s">
        <v>32</v>
      </c>
    </row>
    <row r="24" spans="1:14">
      <c r="A24" s="19" t="s">
        <v>33</v>
      </c>
      <c r="B24" s="19" t="s">
        <v>34</v>
      </c>
      <c r="C24" s="19"/>
      <c r="D24" s="19"/>
      <c r="E24" s="19" t="s">
        <v>35</v>
      </c>
      <c r="F24" s="19" t="s">
        <v>36</v>
      </c>
      <c r="G24" s="19" t="s">
        <v>37</v>
      </c>
      <c r="H24" s="19"/>
      <c r="I24" s="19"/>
      <c r="J24" s="19"/>
      <c r="K24" t="s">
        <v>38</v>
      </c>
      <c r="M24" t="s">
        <v>39</v>
      </c>
    </row>
    <row r="25" spans="1:14">
      <c r="A25" s="19"/>
      <c r="B25" s="19"/>
      <c r="C25" s="19"/>
      <c r="D25" s="19"/>
      <c r="E25" s="19"/>
      <c r="F25" s="19"/>
      <c r="G25" s="19" t="s">
        <v>40</v>
      </c>
      <c r="H25" s="19" t="s">
        <v>41</v>
      </c>
      <c r="I25" s="19" t="s">
        <v>42</v>
      </c>
      <c r="J25" s="19" t="s">
        <v>43</v>
      </c>
      <c r="N25" t="s">
        <v>44</v>
      </c>
    </row>
    <row r="26" spans="1:14">
      <c r="A26" s="23" t="s">
        <v>45</v>
      </c>
      <c r="B26" s="23" t="s">
        <v>46</v>
      </c>
      <c r="C26" s="23"/>
      <c r="D26" s="23"/>
      <c r="E26" s="23" t="s">
        <v>47</v>
      </c>
      <c r="F26" s="23">
        <v>2</v>
      </c>
      <c r="G26" s="23">
        <v>14</v>
      </c>
      <c r="H26" s="23">
        <v>26</v>
      </c>
      <c r="I26" s="23">
        <v>5</v>
      </c>
      <c r="J26" s="23">
        <f t="shared" ref="J26:J37" si="0">SUM(G26:I26)</f>
        <v>45</v>
      </c>
    </row>
    <row r="27" spans="1:14">
      <c r="A27" s="24" t="s">
        <v>48</v>
      </c>
      <c r="B27" s="24" t="s">
        <v>49</v>
      </c>
      <c r="C27" s="24"/>
      <c r="D27" s="24"/>
      <c r="E27" s="24" t="s">
        <v>50</v>
      </c>
      <c r="F27" s="24">
        <v>2</v>
      </c>
      <c r="G27" s="24">
        <v>57</v>
      </c>
      <c r="H27" s="24">
        <v>14</v>
      </c>
      <c r="I27" s="24">
        <v>4</v>
      </c>
      <c r="J27" s="24">
        <f t="shared" si="0"/>
        <v>75</v>
      </c>
    </row>
    <row r="28" spans="1:14">
      <c r="A28" s="25" t="s">
        <v>51</v>
      </c>
      <c r="B28" s="25" t="s">
        <v>52</v>
      </c>
      <c r="C28" s="25"/>
      <c r="D28" s="25"/>
      <c r="E28" s="25" t="s">
        <v>50</v>
      </c>
      <c r="F28" s="25">
        <v>2</v>
      </c>
      <c r="G28" s="25">
        <v>46</v>
      </c>
      <c r="H28" s="25">
        <v>11</v>
      </c>
      <c r="I28" s="25">
        <v>3</v>
      </c>
      <c r="J28" s="25">
        <f t="shared" si="0"/>
        <v>60</v>
      </c>
    </row>
    <row r="29" spans="1:14">
      <c r="A29" s="24" t="s">
        <v>53</v>
      </c>
      <c r="B29" s="24" t="s">
        <v>54</v>
      </c>
      <c r="C29" s="24"/>
      <c r="D29" s="24"/>
      <c r="E29" s="24" t="s">
        <v>55</v>
      </c>
      <c r="F29" s="24">
        <v>4</v>
      </c>
      <c r="G29" s="24">
        <v>50</v>
      </c>
      <c r="H29" s="24">
        <v>42</v>
      </c>
      <c r="I29" s="24">
        <v>10</v>
      </c>
      <c r="J29" s="24">
        <f t="shared" si="0"/>
        <v>102</v>
      </c>
    </row>
    <row r="30" spans="1:14">
      <c r="A30" s="26" t="s">
        <v>56</v>
      </c>
      <c r="B30" s="26" t="s">
        <v>57</v>
      </c>
      <c r="C30" s="26"/>
      <c r="D30" s="26"/>
      <c r="E30" s="26" t="s">
        <v>55</v>
      </c>
      <c r="F30" s="26">
        <v>1</v>
      </c>
      <c r="G30" s="26">
        <v>27</v>
      </c>
      <c r="H30" s="26">
        <v>0</v>
      </c>
      <c r="I30" s="26">
        <v>2</v>
      </c>
      <c r="J30" s="26">
        <f t="shared" si="0"/>
        <v>29</v>
      </c>
    </row>
    <row r="31" spans="1:14">
      <c r="A31" s="27" t="s">
        <v>58</v>
      </c>
      <c r="B31" s="27" t="s">
        <v>59</v>
      </c>
      <c r="C31" s="27"/>
      <c r="D31" s="27"/>
      <c r="E31" s="27" t="s">
        <v>55</v>
      </c>
      <c r="F31" s="27">
        <v>2</v>
      </c>
      <c r="G31" s="27">
        <v>30</v>
      </c>
      <c r="H31" s="27">
        <v>0</v>
      </c>
      <c r="I31" s="27">
        <v>3</v>
      </c>
      <c r="J31" s="27">
        <f t="shared" si="0"/>
        <v>33</v>
      </c>
    </row>
    <row r="32" spans="1:14">
      <c r="A32" s="28" t="s">
        <v>60</v>
      </c>
      <c r="B32" s="28" t="s">
        <v>61</v>
      </c>
      <c r="C32" s="28"/>
      <c r="D32" s="28"/>
      <c r="E32" s="28" t="s">
        <v>55</v>
      </c>
      <c r="F32" s="28">
        <v>2</v>
      </c>
      <c r="G32" s="28">
        <v>30</v>
      </c>
      <c r="H32" s="28">
        <v>15</v>
      </c>
      <c r="I32" s="28">
        <v>3</v>
      </c>
      <c r="J32" s="28">
        <f t="shared" si="0"/>
        <v>48</v>
      </c>
    </row>
    <row r="33" spans="1:18">
      <c r="A33" s="29" t="s">
        <v>62</v>
      </c>
      <c r="B33" s="29" t="s">
        <v>63</v>
      </c>
      <c r="C33" s="29"/>
      <c r="D33" s="29"/>
      <c r="E33" s="29" t="s">
        <v>64</v>
      </c>
      <c r="F33" s="29">
        <v>1</v>
      </c>
      <c r="G33" s="29">
        <v>18</v>
      </c>
      <c r="H33" s="29">
        <v>9</v>
      </c>
      <c r="I33" s="29">
        <v>2</v>
      </c>
      <c r="J33" s="29">
        <f t="shared" si="0"/>
        <v>29</v>
      </c>
    </row>
    <row r="34" spans="1:18">
      <c r="A34" s="27" t="s">
        <v>65</v>
      </c>
      <c r="B34" s="27" t="s">
        <v>66</v>
      </c>
      <c r="C34" s="27"/>
      <c r="D34" s="27"/>
      <c r="E34" s="27" t="s">
        <v>50</v>
      </c>
      <c r="F34" s="27">
        <v>2</v>
      </c>
      <c r="G34" s="27">
        <v>36</v>
      </c>
      <c r="H34" s="27">
        <v>6</v>
      </c>
      <c r="I34" s="27">
        <v>3</v>
      </c>
      <c r="J34" s="27">
        <f t="shared" si="0"/>
        <v>45</v>
      </c>
    </row>
    <row r="35" spans="1:18">
      <c r="A35" s="29" t="s">
        <v>67</v>
      </c>
      <c r="B35" s="29" t="s">
        <v>68</v>
      </c>
      <c r="C35" s="29"/>
      <c r="D35" s="29"/>
      <c r="E35" s="29" t="s">
        <v>47</v>
      </c>
      <c r="F35" s="29">
        <v>2</v>
      </c>
      <c r="G35" s="29">
        <v>2</v>
      </c>
      <c r="H35" s="29">
        <v>50</v>
      </c>
      <c r="I35" s="29">
        <v>6</v>
      </c>
      <c r="J35" s="29">
        <f t="shared" si="0"/>
        <v>58</v>
      </c>
    </row>
    <row r="36" spans="1:18">
      <c r="A36" s="30" t="s">
        <v>69</v>
      </c>
      <c r="B36" s="30" t="s">
        <v>70</v>
      </c>
      <c r="C36" s="30"/>
      <c r="D36" s="30"/>
      <c r="E36" s="30" t="s">
        <v>47</v>
      </c>
      <c r="F36" s="30">
        <v>2</v>
      </c>
      <c r="G36" s="30">
        <v>24</v>
      </c>
      <c r="H36" s="30">
        <v>18</v>
      </c>
      <c r="I36" s="30">
        <v>3</v>
      </c>
      <c r="J36" s="30">
        <f t="shared" si="0"/>
        <v>45</v>
      </c>
    </row>
    <row r="37" spans="1:18">
      <c r="A37" s="31" t="s">
        <v>71</v>
      </c>
      <c r="B37" s="31" t="s">
        <v>72</v>
      </c>
      <c r="C37" s="31"/>
      <c r="D37" s="31"/>
      <c r="E37" s="31"/>
      <c r="F37" s="31">
        <v>3</v>
      </c>
      <c r="G37" s="31">
        <v>30</v>
      </c>
      <c r="H37" s="31">
        <v>30</v>
      </c>
      <c r="I37" s="31">
        <v>0</v>
      </c>
      <c r="J37" s="31">
        <f t="shared" si="0"/>
        <v>60</v>
      </c>
    </row>
    <row r="38" spans="1:18">
      <c r="A38" s="32" t="s">
        <v>73</v>
      </c>
      <c r="B38" s="32"/>
      <c r="C38" s="32"/>
      <c r="D38" s="32"/>
      <c r="E38" s="32"/>
      <c r="F38" s="32">
        <f>SUM(F26:F37)</f>
        <v>25</v>
      </c>
      <c r="G38" s="32">
        <f>SUM(G26:G37)</f>
        <v>364</v>
      </c>
      <c r="H38" s="32">
        <f>SUM(H26:H37)</f>
        <v>221</v>
      </c>
      <c r="I38" s="32">
        <f>SUM(I26:I37)</f>
        <v>44</v>
      </c>
      <c r="J38" s="32">
        <f>SUM(J26:J37)</f>
        <v>629</v>
      </c>
    </row>
    <row r="40" spans="1:18">
      <c r="L40" s="33" t="s">
        <v>74</v>
      </c>
      <c r="M40" s="33"/>
      <c r="N40" s="33"/>
      <c r="O40" s="33"/>
      <c r="P40" s="33"/>
      <c r="Q40" s="33"/>
      <c r="R40" s="33" t="s">
        <v>75</v>
      </c>
    </row>
    <row r="41" spans="1:18">
      <c r="L41" s="33"/>
      <c r="M41" s="33"/>
      <c r="N41" s="33"/>
      <c r="O41" s="33"/>
      <c r="P41" s="33"/>
      <c r="Q41" s="33"/>
      <c r="R41" s="33" t="s">
        <v>76</v>
      </c>
    </row>
  </sheetData>
  <mergeCells count="43">
    <mergeCell ref="C1:J1"/>
    <mergeCell ref="C2:J2"/>
    <mergeCell ref="A3:J3"/>
    <mergeCell ref="A4:J4"/>
    <mergeCell ref="A5:J5"/>
    <mergeCell ref="C7:D7"/>
    <mergeCell ref="E7:H7"/>
    <mergeCell ref="I7:J7"/>
    <mergeCell ref="C22:J22"/>
    <mergeCell ref="B24:D24"/>
    <mergeCell ref="G24:J24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A7:A10"/>
    <mergeCell ref="A11:A12"/>
    <mergeCell ref="A13:A14"/>
    <mergeCell ref="A15:A16"/>
    <mergeCell ref="A17:A18"/>
    <mergeCell ref="A19:A20"/>
    <mergeCell ref="A24:A25"/>
    <mergeCell ref="C9:C10"/>
    <mergeCell ref="D9:D10"/>
    <mergeCell ref="E9:E10"/>
    <mergeCell ref="E24:E25"/>
    <mergeCell ref="F9:F10"/>
    <mergeCell ref="F24:F25"/>
    <mergeCell ref="G9:G10"/>
    <mergeCell ref="H9:H10"/>
    <mergeCell ref="I9:I10"/>
    <mergeCell ref="J9:J10"/>
    <mergeCell ref="K24:K25"/>
    <mergeCell ref="A1:B2"/>
    <mergeCell ref="B24:D25"/>
  </mergeCells>
  <pageMargins left="0.7" right="0.7" top="0.75" bottom="0.75" header="0.3" footer="0.3"/>
  <pageSetup paperSize="1" fitToHeight="0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Luong Quoc Dong (FPL HCM)</cp:lastModifiedBy>
  <dcterms:created xsi:type="dcterms:W3CDTF">2026-07-19T08:04:00Z</dcterms:created>
  <dcterms:modified xsi:type="dcterms:W3CDTF">2026-07-19T08:51:49Z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EE6D65A020B443A7AA24E5D253F00355_13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